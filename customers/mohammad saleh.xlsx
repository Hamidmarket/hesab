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C242" i="1" s="1"/>
  <c r="B216" i="1"/>
  <c r="B242" i="1" s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B244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<sst xmlns="http://schemas.openxmlformats.org/spreadsheetml/2006/main" count="401" uniqueCount="233">
  <si>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</si>
  <si>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</si>
  <si>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</si>
  <si>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</si>
  <si>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</si>
  <si>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</si>
  <si>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</si>
  <si>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</si>
  <si>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</si>
  <si>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</si>
  <si>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</si>
  <si>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</si>
  <si>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</si>
  <si>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</si>
  <si>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</si>
  <si>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</si>
  <si>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</si>
  <si>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</si>
  <si>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</si>
  <si>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</si>
  <si>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</si>
  <si>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</si>
  <si>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</si>
  <si>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</si>
  <si>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</si>
  <si>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</si>
  <si>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</si>
  <si>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</si>
  <si>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</si>
  <si>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</si>
  <si>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</si>
  <si>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</si>
  <si>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</si>
  <si>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</si>
  <si>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</si>
  <si>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</si>
  <si>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</si>
  <si>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</si>
  <si>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</si>
  <si>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</si>
  <si>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</si>
  <si>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</si>
  <si>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</si>
  <si>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</si>
  <si>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</si>
  <si>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</si>
  <si>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</si>
  <si>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</si>
  <si>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</si>
  <si>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</si>
  <si>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</si>
  <si>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</si>
  <si>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</si>
  <si>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</si>
  <si>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</si>
  <si>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</si>
  <si>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</si>
  <si>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</si>
  <si>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</si>
  <si>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</si>
  <si>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</si>
  <si>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</si>
  <si>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</si>
  <si>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</si>
  <si>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</si>
  <si>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</si>
  <si>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</si>
  <si>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</si>
  <si>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</si>
  <si>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</si>
  <si>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</si>
  <si>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</si>
  <si>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</si>
  <si>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</si>
  <si>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</si>
  <si>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</si>
  <si>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</si>
  <si>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</si>
  <si>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</si>
  <si>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</si>
  <si>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</si>
  <si>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</si>
  <si>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</si>
  <si>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</si>
  <si>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</si>
  <si>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</si>
  <si>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</si>
  <si>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</si>
  <si>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</si>
  <si>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</si>
  <si>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</si>
  <si>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</si>
  <si>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</si>
  <si>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</si>
  <si>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</si>
  <si>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</si>
  <si>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</si>
  <si>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</si>
  <si>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</si>
  <si>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</si>
  <si>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</si>
  <si>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</si>
  <si>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</si>
  <si>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</si>
  <si>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</si>
  <si>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</si>
  <si>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</si>
  <si>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</si>
  <si>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</si>
  <si>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</si>
  <si>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</si>
  <si>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</si>
  <si>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</si>
  <si>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</si>
  <si>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</si>
  <si>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</si>
  <si>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</si>
  <si>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</si>
  <si>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</si>
  <si>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</si>
  <si>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</si>
  <si>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</si>
  <si>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</si>
  <si>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</si>
  <si>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</si>
  <si>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</si>
  <si>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</si>
  <si>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</si>
  <si>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</si>
  <si>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</si>
  <si>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</si>
  <si>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</si>
  <si>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</si>
  <si>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</si>
  <si>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</si>
  <si>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</si>
  <si>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</si>
  <si>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</si>
  <si>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</si>
  <si>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</si>
  <si>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</si>
  <si>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</si>
  <si>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</si>
  <si>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</si>
  <si>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</si>
  <si>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</si>
  <si>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</si>
  <si>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</si>
  <si>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</si>
  <si>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</si>
  <si>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</si>
  <si>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</si>
  <si>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</si>
  <si>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</si>
  <si>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</si>
  <si>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</si>
  <si>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</si>
  <si>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</si>
  <si>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</si>
  <si>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</si>
  <si>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</si>
  <si>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</si>
  <si>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</si>
  <si>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</si>
  <si>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</si>
  <si>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</si>
  <si>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</si>
  <si>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</si>
  <si>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</si>
  <si>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</si>
  <si>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</si>
  <si>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</si>
  <si>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</si>
  <si>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</si>
  <si>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</si>
  <si>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</si>
  <si>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</si>
  <si>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</si>
  <si>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</si>
  <si>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</si>
  <si>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</si>
  <si>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</si>
  <si>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</si>
  <si>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</si>
  <si>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</si>
  <si>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</si>
  <si>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</si>
  <si>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</si>
  <si>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</si>
  <si>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</si>
  <si>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</si>
  <si>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</si>
  <si>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</si>
  <si>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</si>
  <si>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</si>
  <si>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</si>
  <si>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</si>
  <si>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</si>
  <si>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</si>
  <si>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</si>
  <si>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</si>
  <si>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</si>
  <si>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</si>
  <si>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</si>
  <si>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</si>
  <si>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</si>
  <si>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</si>
  <si>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</si>
  <si>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</si>
  <si>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</si>
  <si>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</si>
  <si>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</si>
  <si>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</si>
  <si>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</si>
  <si>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</si>
  <si>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</si>
  <si>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</si>
  <si>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</si>
  <si>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</si>
  <si>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</si>
  <si>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</si>
  <si>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</si>
  <si>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</si>
  <si>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</si>
  <si>
    <t>1405/06/13</t>
  </si>
  <si>
    <t>دنگ باغ ممد جواد</t>
  </si>
  <si>
    <t>1405/06/16</t>
  </si>
  <si>
    <t>1405/06/21</t>
  </si>
  <si>
    <t>دنگ سس</t>
  </si>
  <si>
    <t>1405/07/10</t>
  </si>
  <si>
    <t>کوصشر گوشی عرشیا</t>
  </si>
  <si>
    <t>شومول</t>
  </si>
  <si>
    <t>1405/07/13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</si>
</sst>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18" zoomScaleNormal="100" workbookViewId="0">
      <selection activeCell="C225" sqref="C22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B244</f>
        <v>-99000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0</v>
      </c>
      <c r="B211" s="8"/>
      <c r="C211" s="8">
        <v>894000</v>
      </c>
      <c r="D211" s="1" t="s">
        <v>12</v>
      </c>
      <c r="E211" s="1" t="s">
        <v>224</v>
      </c>
    </row>
    <row r="212" spans="1:5" ht="28.5" customHeight="1" x14ac:dyDescent="0.2">
      <c r="A212" s="8">
        <f t="shared" si="16"/>
        <v>155000</v>
      </c>
      <c r="B212" s="8">
        <v>155000</v>
      </c>
      <c r="C212" s="8"/>
      <c r="D212" s="1" t="s">
        <v>135</v>
      </c>
      <c r="E212" s="1" t="s">
        <v>224</v>
      </c>
    </row>
    <row r="213" spans="1:5" ht="28.5" customHeight="1" x14ac:dyDescent="0.2">
      <c r="A213" s="8">
        <f t="shared" si="16"/>
        <v>355000</v>
      </c>
      <c r="B213" s="8">
        <v>200000</v>
      </c>
      <c r="C213" s="8"/>
      <c r="D213" s="1" t="s">
        <v>225</v>
      </c>
      <c r="E213" s="1"/>
    </row>
    <row r="214" spans="1:5" ht="28.5" customHeight="1" x14ac:dyDescent="0.2">
      <c r="A214" s="8">
        <f t="shared" si="16"/>
        <v>455000</v>
      </c>
      <c r="B214" s="8">
        <v>100000</v>
      </c>
      <c r="C214" s="8"/>
      <c r="D214" s="1" t="s">
        <v>159</v>
      </c>
      <c r="E214" s="1" t="s">
        <v>226</v>
      </c>
    </row>
    <row r="215" spans="1:5" ht="28.5" customHeight="1" x14ac:dyDescent="0.2">
      <c r="A215" s="8">
        <f t="shared" si="16"/>
        <v>551000</v>
      </c>
      <c r="B215" s="8">
        <v>96000</v>
      </c>
      <c r="C215" s="8"/>
      <c r="D215" s="1" t="s">
        <v>228</v>
      </c>
      <c r="E215" s="1" t="s">
        <v>227</v>
      </c>
    </row>
    <row r="216" spans="1:5" ht="28.5" customHeight="1" x14ac:dyDescent="0.2">
      <c r="B216" s="9">
        <f>SUM(B196:B215)+B190</f>
        <v>12373000</v>
      </c>
      <c r="C216" s="9">
        <f>SUM(C196:C215)+C190</f>
        <v>11822000</v>
      </c>
    </row>
    <row r="217" spans="1:5" ht="28.5" customHeight="1" x14ac:dyDescent="0.2"/>
    <row r="218" spans="1:5" ht="28.5" customHeight="1" x14ac:dyDescent="0.35">
      <c r="B218" s="15">
        <f>A215</f>
        <v>551000</v>
      </c>
      <c r="C218" s="17" t="s">
        <v>184</v>
      </c>
      <c r="D218" s="17"/>
    </row>
    <row r="219" spans="1:5" ht="28.5" customHeight="1" x14ac:dyDescent="0.2"/>
    <row r="220" spans="1:5" ht="28.5" customHeight="1" x14ac:dyDescent="0.3">
      <c r="A220" t="s">
        <v>10</v>
      </c>
      <c r="B220" s="2" t="s">
        <v>0</v>
      </c>
      <c r="C220" s="2"/>
    </row>
    <row r="221" spans="1:5" ht="28.5" customHeight="1" x14ac:dyDescent="0.35">
      <c r="A221" s="3" t="s">
        <v>4</v>
      </c>
      <c r="B221" s="4" t="s">
        <v>3</v>
      </c>
      <c r="C221" s="3" t="s">
        <v>1</v>
      </c>
      <c r="D221" s="5" t="s">
        <v>2</v>
      </c>
      <c r="E221" s="5" t="s">
        <v>7</v>
      </c>
    </row>
    <row r="222" spans="1:5" ht="28.5" customHeight="1" x14ac:dyDescent="0.2">
      <c r="A222" s="8">
        <f>B218+B222-C222</f>
        <v>201000</v>
      </c>
      <c r="B222" s="8"/>
      <c r="C222" s="8">
        <v>350000</v>
      </c>
      <c r="D222" s="1" t="s">
        <v>230</v>
      </c>
      <c r="E222" s="1" t="s">
        <v>229</v>
      </c>
    </row>
    <row r="223" spans="1:5" ht="28.5" customHeight="1" x14ac:dyDescent="0.2">
      <c r="A223" s="8">
        <f>A222+B223-C223</f>
        <v>301000</v>
      </c>
      <c r="B223" s="8">
        <v>100000</v>
      </c>
      <c r="C223" s="8"/>
      <c r="D223" s="1" t="s">
        <v>231</v>
      </c>
      <c r="E223" s="1"/>
    </row>
    <row r="224" spans="1:5" ht="28.5" customHeight="1" x14ac:dyDescent="0.2">
      <c r="A224" s="8">
        <f t="shared" ref="A224:A231" si="17">A223+B224-C224</f>
        <v>-99000</v>
      </c>
      <c r="B224" s="8"/>
      <c r="C224" s="8">
        <v>400000</v>
      </c>
      <c r="D224" s="1" t="s">
        <v>12</v>
      </c>
      <c r="E224" s="1" t="s">
        <v>232</v>
      </c>
    </row>
    <row r="225" spans="1:5" ht="28.5" customHeight="1" x14ac:dyDescent="0.2">
      <c r="A225" s="8">
        <f t="shared" si="17"/>
        <v>-99000</v>
      </c>
      <c r="B225" s="8"/>
      <c r="C225" s="8"/>
      <c r="D225" s="1"/>
      <c r="E225" s="1"/>
    </row>
    <row r="226" spans="1:5" ht="28.5" customHeight="1" x14ac:dyDescent="0.2">
      <c r="A226" s="8">
        <f t="shared" si="17"/>
        <v>-99000</v>
      </c>
      <c r="B226" s="8"/>
      <c r="C226" s="8"/>
      <c r="D226" s="1"/>
      <c r="E226" s="1"/>
    </row>
    <row r="227" spans="1:5" ht="28.5" customHeight="1" x14ac:dyDescent="0.2">
      <c r="A227" s="8">
        <f t="shared" si="17"/>
        <v>-99000</v>
      </c>
      <c r="B227" s="8"/>
      <c r="C227" s="8"/>
      <c r="D227" s="1"/>
      <c r="E227" s="1"/>
    </row>
    <row r="228" spans="1:5" ht="28.5" customHeight="1" x14ac:dyDescent="0.2">
      <c r="A228" s="8">
        <f t="shared" si="17"/>
        <v>-99000</v>
      </c>
      <c r="B228" s="8"/>
      <c r="C228" s="8"/>
      <c r="D228" s="1"/>
      <c r="E228" s="1"/>
    </row>
    <row r="229" spans="1:5" ht="28.5" customHeight="1" x14ac:dyDescent="0.2">
      <c r="A229" s="8">
        <f t="shared" si="17"/>
        <v>-99000</v>
      </c>
      <c r="B229" s="8"/>
      <c r="C229" s="8"/>
      <c r="D229" s="1"/>
      <c r="E229" s="1"/>
    </row>
    <row r="230" spans="1:5" ht="28.5" customHeight="1" x14ac:dyDescent="0.2">
      <c r="A230" s="8">
        <f t="shared" si="17"/>
        <v>-99000</v>
      </c>
      <c r="B230" s="8"/>
      <c r="C230" s="8"/>
      <c r="D230" s="1"/>
      <c r="E230" s="1"/>
    </row>
    <row r="231" spans="1:5" ht="28.5" customHeight="1" x14ac:dyDescent="0.2">
      <c r="A231" s="8">
        <f t="shared" si="17"/>
        <v>-99000</v>
      </c>
      <c r="B231" s="8"/>
      <c r="C231" s="8"/>
      <c r="D231" s="1"/>
      <c r="E231" s="1"/>
    </row>
    <row r="232" spans="1:5" ht="28.5" customHeight="1" x14ac:dyDescent="0.2">
      <c r="A232" s="8">
        <f>A231+B232-C232</f>
        <v>-99000</v>
      </c>
      <c r="B232" s="8"/>
      <c r="C232" s="8"/>
      <c r="D232" s="1"/>
      <c r="E232" s="1"/>
    </row>
    <row r="233" spans="1:5" ht="28.5" customHeight="1" x14ac:dyDescent="0.2">
      <c r="A233" s="8">
        <f t="shared" ref="A233" si="18">A232+B233-C233</f>
        <v>-99000</v>
      </c>
      <c r="B233" s="8"/>
      <c r="C233" s="8"/>
      <c r="D233" s="1"/>
      <c r="E233" s="1"/>
    </row>
    <row r="234" spans="1:5" ht="28.5" customHeight="1" x14ac:dyDescent="0.2">
      <c r="A234" s="8">
        <f>A233+B234-C234</f>
        <v>-99000</v>
      </c>
      <c r="B234" s="8"/>
      <c r="C234" s="8"/>
      <c r="D234" s="1"/>
      <c r="E234" s="1"/>
    </row>
    <row r="235" spans="1:5" ht="28.5" customHeight="1" x14ac:dyDescent="0.2">
      <c r="A235" s="8">
        <f t="shared" ref="A235:A241" si="19">A234+B235-C235</f>
        <v>-99000</v>
      </c>
      <c r="B235" s="8"/>
      <c r="C235" s="8"/>
      <c r="D235" s="1"/>
      <c r="E235" s="1"/>
    </row>
    <row r="236" spans="1:5" ht="28.5" customHeight="1" x14ac:dyDescent="0.2">
      <c r="A236" s="8">
        <f t="shared" si="19"/>
        <v>-99000</v>
      </c>
      <c r="B236" s="8"/>
      <c r="C236" s="8"/>
      <c r="D236" s="1"/>
      <c r="E236" s="1"/>
    </row>
    <row r="237" spans="1:5" ht="28.5" customHeight="1" x14ac:dyDescent="0.2">
      <c r="A237" s="8">
        <f t="shared" si="19"/>
        <v>-99000</v>
      </c>
      <c r="B237" s="8"/>
      <c r="C237" s="8"/>
      <c r="D237" s="1"/>
      <c r="E237" s="1"/>
    </row>
    <row r="238" spans="1:5" ht="28.5" customHeight="1" x14ac:dyDescent="0.2">
      <c r="A238" s="8">
        <f t="shared" si="19"/>
        <v>-99000</v>
      </c>
      <c r="B238" s="8"/>
      <c r="C238" s="8"/>
      <c r="D238" s="1"/>
      <c r="E238" s="1"/>
    </row>
    <row r="239" spans="1:5" ht="28.5" customHeight="1" x14ac:dyDescent="0.2">
      <c r="A239" s="8">
        <f t="shared" si="19"/>
        <v>-99000</v>
      </c>
      <c r="B239" s="8"/>
      <c r="C239" s="8"/>
      <c r="D239" s="1"/>
      <c r="E239" s="1"/>
    </row>
    <row r="240" spans="1:5" ht="28.5" customHeight="1" x14ac:dyDescent="0.2">
      <c r="A240" s="8">
        <f t="shared" si="19"/>
        <v>-99000</v>
      </c>
      <c r="B240" s="8"/>
      <c r="C240" s="8"/>
      <c r="D240" s="1"/>
      <c r="E240" s="1"/>
    </row>
    <row r="241" spans="1:5" ht="28.5" customHeight="1" x14ac:dyDescent="0.2">
      <c r="A241" s="8">
        <f t="shared" si="19"/>
        <v>-99000</v>
      </c>
      <c r="B241" s="8"/>
      <c r="C241" s="8"/>
      <c r="D241" s="1"/>
      <c r="E241" s="1"/>
    </row>
    <row r="242" spans="1:5" ht="28.5" customHeight="1" x14ac:dyDescent="0.2">
      <c r="B242" s="9">
        <f>SUM(B222:B241)+B216</f>
        <v>12473000</v>
      </c>
      <c r="C242" s="9">
        <f>SUM(C222:C241)+C216</f>
        <v>12572000</v>
      </c>
    </row>
    <row r="243" spans="1:5" ht="28.5" customHeight="1" x14ac:dyDescent="0.2"/>
    <row r="244" spans="1:5" ht="28.5" customHeight="1" x14ac:dyDescent="0.35">
      <c r="B244" s="15">
        <f>A241</f>
        <v>-99000</v>
      </c>
      <c r="C244" s="17" t="s">
        <v>184</v>
      </c>
      <c r="D244" s="17"/>
    </row>
    <row r="245" spans="1:5" ht="28.5" customHeight="1" x14ac:dyDescent="0.2"/>
    <row r="246" spans="1:5" ht="28.5" customHeight="1" x14ac:dyDescent="0.2"/>
    <row r="247" spans="1:5" ht="28.5" customHeight="1" x14ac:dyDescent="0.2"/>
    <row r="248" spans="1:5" ht="28.5" customHeight="1" x14ac:dyDescent="0.2"/>
    <row r="249" spans="1:5" ht="28.5" customHeight="1" x14ac:dyDescent="0.2"/>
    <row r="250" spans="1:5" ht="28.5" customHeight="1" x14ac:dyDescent="0.2"/>
    <row r="251" spans="1:5" ht="28.5" customHeight="1" x14ac:dyDescent="0.2"/>
    <row r="252" spans="1:5" ht="28.5" customHeight="1" x14ac:dyDescent="0.2"/>
    <row r="253" spans="1:5" ht="28.5" customHeight="1" x14ac:dyDescent="0.2"/>
    <row r="254" spans="1:5" ht="28.5" customHeight="1" x14ac:dyDescent="0.2"/>
    <row r="255" spans="1:5" ht="28.5" customHeight="1" x14ac:dyDescent="0.2"/>
    <row r="256" spans="1:5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7">
    <mergeCell ref="C244:D244"/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3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65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9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1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4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2026-10-05T14:21:47Z</dcterms:modified>
</cp:coreProperties>
</file>