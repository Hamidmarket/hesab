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6" i="1" l="1"/>
  <c r="C242" i="1" s="1"/>
  <c r="B216" i="1"/>
  <c r="B242" i="1" s="1"/>
  <c r="A196" i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B218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B244" i="1" s="1"/>
  <c r="H2" i="1" s="1"/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<sst xmlns="http://schemas.openxmlformats.org/spreadsheetml/2006/main" count="407" uniqueCount="237">
  <si>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</si>
  <si>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</si>
  <si>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</si>
  <si>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</si>
  <si>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</si>
  <si>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</si>
  <si>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</si>
  <si>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</si>
  <si>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</si>
  <si>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</si>
  <si>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</si>
  <si>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</si>
  <si>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</si>
  <si>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</si>
  <si>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</si>
  <si>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</si>
  <si>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</si>
  <si>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</si>
  <si>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</si>
  <si>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</si>
  <si>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</si>
  <si>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</si>
  <si>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</si>
  <si>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</si>
  <si>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</si>
  <si>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</si>
  <si>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</si>
  <si>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</si>
  <si>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</si>
  <si>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</si>
  <si>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</si>
  <si>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</si>
  <si>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</si>
  <si>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</si>
  <si>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</si>
  <si>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</si>
  <si>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</si>
  <si>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</si>
  <si>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</si>
  <si>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</si>
  <si>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</si>
  <si>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</si>
  <si>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</si>
  <si>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</si>
  <si>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</si>
  <si>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</si>
  <si>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</si>
  <si>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</si>
  <si>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</si>
  <si>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</si>
  <si>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</si>
  <si>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</si>
  <si>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</si>
  <si>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</si>
  <si>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</si>
  <si>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</si>
  <si>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</si>
  <si>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</si>
  <si>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</si>
  <si>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</si>
  <si>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</si>
  <si>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</si>
  <si>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</si>
  <si>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</si>
  <si>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</si>
  <si>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</si>
  <si>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</si>
  <si>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</si>
  <si>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</si>
  <si>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</si>
  <si>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</si>
  <si>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</si>
  <si>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</si>
  <si>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</si>
  <si>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</si>
  <si>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</si>
  <si>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</si>
  <si>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</si>
  <si>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</si>
  <si>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</si>
  <si>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</si>
  <si>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</si>
  <si>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</si>
  <si>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</si>
  <si>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</si>
  <si>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</si>
  <si>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</si>
  <si>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</si>
  <si>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</si>
  <si>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</si>
  <si>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</si>
  <si>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</si>
  <si>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</si>
  <si>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</si>
  <si>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</si>
  <si>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</si>
  <si>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</si>
  <si>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</si>
  <si>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</si>
  <si>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</si>
  <si>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</si>
  <si>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</si>
  <si>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</si>
  <si>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</si>
  <si>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</si>
  <si>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</si>
  <si>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</si>
  <si>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</si>
  <si>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</si>
  <si>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</si>
  <si>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</si>
  <si>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</si>
  <si>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</si>
  <si>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</si>
  <si>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</si>
  <si>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</si>
  <si>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</si>
  <si>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</si>
  <si>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</si>
  <si>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</si>
  <si>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</si>
  <si>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</si>
  <si>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</si>
  <si>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</si>
  <si>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</si>
  <si>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</si>
  <si>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</si>
  <si>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</si>
  <si>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</si>
  <si>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</si>
  <si>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</si>
  <si>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</si>
  <si>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</si>
  <si>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</si>
  <si>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</si>
  <si>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</si>
  <si>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</si>
  <si>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</si>
  <si>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</si>
  <si>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</si>
  <si>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</si>
  <si>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</si>
  <si>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</si>
  <si>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</si>
  <si>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</si>
  <si>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</si>
  <si>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</si>
  <si>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</si>
  <si>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</si>
  <si>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</si>
  <si>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</si>
  <si>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</si>
  <si>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</si>
  <si>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</si>
  <si>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</si>
  <si>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</si>
  <si>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</si>
  <si>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</si>
  <si>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</si>
  <si>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</si>
  <si>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</si>
  <si>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</si>
  <si>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</si>
  <si>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</si>
  <si>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</si>
  <si>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</si>
  <si>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</si>
  <si>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</si>
  <si>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</si>
  <si>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</si>
  <si>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</si>
  <si>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</si>
  <si>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</si>
  <si>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</si>
  <si>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</si>
  <si>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</si>
  <si>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</si>
  <si>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</si>
  <si>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</si>
  <si>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</si>
  <si>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</si>
  <si>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</si>
  <si>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</si>
  <si>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</si>
  <si>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</si>
  <si>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</si>
  <si>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1405/04/12</t>
  </si>
  <si>
    <t>سیگار عطر</t>
  </si>
  <si>
    <t>1405/04/13</t>
  </si>
  <si>
    <t>1405/04/14</t>
  </si>
  <si>
    <t>وجه گول بازی تکیه</t>
  </si>
  <si>
    <t>1405/04/15</t>
  </si>
  <si>
    <t xml:space="preserve">مغز تخمه </t>
  </si>
  <si>
    <t>وج کابل</t>
  </si>
  <si>
    <t>1405/04/17</t>
  </si>
  <si>
    <t>1405/04/19</t>
  </si>
  <si>
    <t>1405/04/27</t>
  </si>
  <si>
    <t>1405/04.29</t>
  </si>
  <si>
    <t>1405/04/30</t>
  </si>
  <si>
    <t>طلب چراغ</t>
  </si>
  <si>
    <t>1405/05/02</t>
  </si>
  <si>
    <t>ادامس سیگار</t>
  </si>
  <si>
    <t>1405/05/09</t>
  </si>
  <si>
    <t xml:space="preserve">رانی سیگار </t>
  </si>
  <si>
    <t>1405/05/10</t>
  </si>
  <si>
    <t>وجه کله ای برچسب</t>
  </si>
  <si>
    <t xml:space="preserve">وجه  </t>
  </si>
  <si>
    <t>1405/05/13</t>
  </si>
  <si>
    <t>بستنی سیگار</t>
  </si>
  <si>
    <t>گول بازی مزه باغ دامو</t>
  </si>
  <si>
    <t>1405/05/21</t>
  </si>
  <si>
    <t>انرژی زا</t>
  </si>
  <si>
    <t>1405/05/22</t>
  </si>
  <si>
    <t>1405/05/23</t>
  </si>
  <si>
    <t>دلستر کیک سیگار</t>
  </si>
  <si>
    <t>1405/05/26</t>
  </si>
  <si>
    <t>1405/05/31</t>
  </si>
  <si>
    <t>پچ پچ</t>
  </si>
  <si>
    <t>مزه</t>
  </si>
  <si>
    <t>1405/06/02</t>
  </si>
  <si>
    <t>1405/06/06</t>
  </si>
  <si>
    <t>ایک اس پروتئین بار</t>
  </si>
  <si>
    <t>1405/06/07</t>
  </si>
  <si>
    <t>دنگ سوسیس خونه یاسین</t>
  </si>
  <si>
    <t>1405/06/13</t>
  </si>
  <si>
    <t>دنگ باغ ممد جواد</t>
  </si>
  <si>
    <t>1405/06/16</t>
  </si>
  <si>
    <t>1405/06/21</t>
  </si>
  <si>
    <t>دنگ سس</t>
  </si>
  <si>
    <t>1405/07/10</t>
  </si>
  <si>
    <t>کوصشر گوشی عرشیا</t>
  </si>
  <si>
    <t>شومول</t>
  </si>
  <si>
    <t>1405/07/13</t>
  </si>
  <si>
    <t>1405/07/14</t>
  </si>
  <si>
    <t>1405/07/17</t>
  </si>
  <si>
    <t>1405/07/29</t>
  </si>
  <si>
    <t>وجه دنگ ویلا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</si>
</sst>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218" zoomScaleNormal="100" workbookViewId="0">
      <selection activeCell="C228" sqref="C22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B244</f>
        <v>-549000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190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187</v>
      </c>
      <c r="E179" s="1" t="s">
        <v>186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188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189</v>
      </c>
    </row>
    <row r="182" spans="1:5" ht="28.5" customHeight="1" x14ac:dyDescent="0.2">
      <c r="A182" s="8">
        <f>A181+B182-C182</f>
        <v>223000</v>
      </c>
      <c r="B182" s="8">
        <v>52000</v>
      </c>
      <c r="C182" s="8"/>
      <c r="D182" s="1" t="s">
        <v>192</v>
      </c>
      <c r="E182" s="1" t="s">
        <v>191</v>
      </c>
    </row>
    <row r="183" spans="1:5" ht="28.5" customHeight="1" x14ac:dyDescent="0.2">
      <c r="A183" s="8">
        <f t="shared" ref="A183:A189" si="13">A182+B183-C183</f>
        <v>3000</v>
      </c>
      <c r="B183" s="8"/>
      <c r="C183" s="8">
        <v>220000</v>
      </c>
      <c r="D183" s="1" t="s">
        <v>193</v>
      </c>
      <c r="E183" s="1"/>
    </row>
    <row r="184" spans="1:5" ht="28.5" customHeight="1" x14ac:dyDescent="0.35">
      <c r="A184" s="8">
        <f t="shared" si="13"/>
        <v>115000</v>
      </c>
      <c r="B184" s="8">
        <v>112000</v>
      </c>
      <c r="C184" s="10"/>
      <c r="D184" s="1" t="s">
        <v>135</v>
      </c>
      <c r="E184" s="1" t="s">
        <v>194</v>
      </c>
    </row>
    <row r="185" spans="1:5" ht="28.5" customHeight="1" x14ac:dyDescent="0.2">
      <c r="A185" s="8">
        <f t="shared" si="13"/>
        <v>145000</v>
      </c>
      <c r="B185" s="8">
        <v>30000</v>
      </c>
      <c r="C185" s="8"/>
      <c r="D185" s="1" t="s">
        <v>135</v>
      </c>
      <c r="E185" s="1" t="s">
        <v>195</v>
      </c>
    </row>
    <row r="186" spans="1:5" ht="28.5" customHeight="1" x14ac:dyDescent="0.2">
      <c r="A186" s="8">
        <f t="shared" si="13"/>
        <v>307000</v>
      </c>
      <c r="B186" s="8">
        <v>162000</v>
      </c>
      <c r="C186" s="1"/>
      <c r="D186" s="1" t="s">
        <v>135</v>
      </c>
      <c r="E186" s="1" t="s">
        <v>196</v>
      </c>
    </row>
    <row r="187" spans="1:5" ht="28.5" customHeight="1" x14ac:dyDescent="0.2">
      <c r="A187" s="8">
        <f t="shared" si="13"/>
        <v>0</v>
      </c>
      <c r="B187" s="8"/>
      <c r="C187" s="1">
        <v>307000</v>
      </c>
      <c r="D187" s="1" t="s">
        <v>12</v>
      </c>
      <c r="E187" s="1" t="s">
        <v>197</v>
      </c>
    </row>
    <row r="188" spans="1:5" ht="28.5" customHeight="1" x14ac:dyDescent="0.2">
      <c r="A188" s="8">
        <f t="shared" si="13"/>
        <v>-50000</v>
      </c>
      <c r="B188" s="8"/>
      <c r="C188" s="1">
        <v>50000</v>
      </c>
      <c r="D188" s="1" t="s">
        <v>199</v>
      </c>
      <c r="E188" s="1" t="s">
        <v>198</v>
      </c>
    </row>
    <row r="189" spans="1:5" ht="28.5" customHeight="1" x14ac:dyDescent="0.2">
      <c r="A189" s="8">
        <f t="shared" si="13"/>
        <v>88000</v>
      </c>
      <c r="B189" s="8">
        <v>138000</v>
      </c>
      <c r="C189" s="1"/>
      <c r="D189" s="1" t="s">
        <v>201</v>
      </c>
      <c r="E189" s="1" t="s">
        <v>200</v>
      </c>
    </row>
    <row r="190" spans="1:5" ht="28.5" customHeight="1" x14ac:dyDescent="0.2">
      <c r="B190" s="9">
        <f>SUM(B170:B189)+B163</f>
        <v>9871000</v>
      </c>
      <c r="C190" s="9">
        <f>SUM(C170:C189)+C163</f>
        <v>9783000</v>
      </c>
    </row>
    <row r="191" spans="1:5" ht="28.5" customHeight="1" x14ac:dyDescent="0.2"/>
    <row r="192" spans="1:5" ht="28.5" customHeight="1" x14ac:dyDescent="0.35">
      <c r="B192" s="15">
        <f>A189</f>
        <v>88000</v>
      </c>
      <c r="C192" s="17" t="s">
        <v>184</v>
      </c>
      <c r="D192" s="17"/>
    </row>
    <row r="193" spans="1:5" ht="28.5" customHeight="1" x14ac:dyDescent="0.2"/>
    <row r="194" spans="1:5" ht="28.5" customHeight="1" x14ac:dyDescent="0.3">
      <c r="A194" t="s">
        <v>10</v>
      </c>
      <c r="B194" s="2" t="s">
        <v>0</v>
      </c>
      <c r="C194" s="2"/>
    </row>
    <row r="195" spans="1:5" ht="28.5" customHeight="1" x14ac:dyDescent="0.35">
      <c r="A195" s="3" t="s">
        <v>4</v>
      </c>
      <c r="B195" s="4" t="s">
        <v>3</v>
      </c>
      <c r="C195" s="3" t="s">
        <v>1</v>
      </c>
      <c r="D195" s="5" t="s">
        <v>2</v>
      </c>
      <c r="E195" s="5" t="s">
        <v>7</v>
      </c>
    </row>
    <row r="196" spans="1:5" ht="28.5" customHeight="1" x14ac:dyDescent="0.2">
      <c r="A196" s="8">
        <f>B192+B196-C196</f>
        <v>383000</v>
      </c>
      <c r="B196" s="8">
        <v>295000</v>
      </c>
      <c r="C196" s="8"/>
      <c r="D196" s="1" t="s">
        <v>203</v>
      </c>
      <c r="E196" s="1" t="s">
        <v>202</v>
      </c>
    </row>
    <row r="197" spans="1:5" ht="28.5" customHeight="1" x14ac:dyDescent="0.2">
      <c r="A197" s="8">
        <f>A196+B197-C197</f>
        <v>545000</v>
      </c>
      <c r="B197" s="8">
        <v>162000</v>
      </c>
      <c r="C197" s="8"/>
      <c r="D197" s="1" t="s">
        <v>135</v>
      </c>
      <c r="E197" s="1"/>
    </row>
    <row r="198" spans="1:5" ht="28.5" customHeight="1" x14ac:dyDescent="0.2">
      <c r="A198" s="8">
        <f t="shared" ref="A198:A205" si="14">A197+B198-C198</f>
        <v>145000</v>
      </c>
      <c r="B198" s="8"/>
      <c r="C198" s="8">
        <v>400000</v>
      </c>
      <c r="D198" s="1" t="s">
        <v>205</v>
      </c>
      <c r="E198" s="1" t="s">
        <v>204</v>
      </c>
    </row>
    <row r="199" spans="1:5" ht="28.5" customHeight="1" x14ac:dyDescent="0.2">
      <c r="A199" s="8">
        <f t="shared" si="14"/>
        <v>0</v>
      </c>
      <c r="B199" s="8"/>
      <c r="C199" s="8">
        <v>145000</v>
      </c>
      <c r="D199" s="1" t="s">
        <v>206</v>
      </c>
      <c r="E199" s="1"/>
    </row>
    <row r="200" spans="1:5" ht="28.5" customHeight="1" x14ac:dyDescent="0.2">
      <c r="A200" s="8">
        <f t="shared" si="14"/>
        <v>98000</v>
      </c>
      <c r="B200" s="8">
        <v>98000</v>
      </c>
      <c r="C200" s="8"/>
      <c r="D200" s="1" t="s">
        <v>208</v>
      </c>
      <c r="E200" s="1" t="s">
        <v>207</v>
      </c>
    </row>
    <row r="201" spans="1:5" ht="28.5" customHeight="1" x14ac:dyDescent="0.2">
      <c r="A201" s="8">
        <f t="shared" si="14"/>
        <v>357000</v>
      </c>
      <c r="B201" s="8">
        <v>259000</v>
      </c>
      <c r="C201" s="8"/>
      <c r="D201" s="1" t="s">
        <v>209</v>
      </c>
      <c r="E201" s="1"/>
    </row>
    <row r="202" spans="1:5" ht="28.5" customHeight="1" x14ac:dyDescent="0.2">
      <c r="A202" s="8">
        <f t="shared" si="14"/>
        <v>512000</v>
      </c>
      <c r="B202" s="8">
        <v>155000</v>
      </c>
      <c r="C202" s="8"/>
      <c r="D202" s="1" t="s">
        <v>211</v>
      </c>
      <c r="E202" s="1" t="s">
        <v>210</v>
      </c>
    </row>
    <row r="203" spans="1:5" ht="28.5" customHeight="1" x14ac:dyDescent="0.2">
      <c r="A203" s="8">
        <f t="shared" si="14"/>
        <v>-88000</v>
      </c>
      <c r="B203" s="8"/>
      <c r="C203" s="8">
        <v>600000</v>
      </c>
      <c r="D203" s="1" t="s">
        <v>12</v>
      </c>
      <c r="E203" s="1" t="s">
        <v>212</v>
      </c>
    </row>
    <row r="204" spans="1:5" ht="28.5" customHeight="1" x14ac:dyDescent="0.2">
      <c r="A204" s="8">
        <f t="shared" si="14"/>
        <v>46000</v>
      </c>
      <c r="B204" s="8">
        <v>134000</v>
      </c>
      <c r="C204" s="8"/>
      <c r="D204" s="1" t="s">
        <v>214</v>
      </c>
      <c r="E204" s="1" t="s">
        <v>213</v>
      </c>
    </row>
    <row r="205" spans="1:5" ht="28.5" customHeight="1" x14ac:dyDescent="0.2">
      <c r="A205" s="8">
        <f t="shared" si="14"/>
        <v>208000</v>
      </c>
      <c r="B205" s="8">
        <v>162000</v>
      </c>
      <c r="C205" s="8"/>
      <c r="D205" s="1" t="s">
        <v>135</v>
      </c>
      <c r="E205" s="1" t="s">
        <v>215</v>
      </c>
    </row>
    <row r="206" spans="1:5" ht="28.5" customHeight="1" x14ac:dyDescent="0.2">
      <c r="A206" s="8">
        <f>A205+B206-C206</f>
        <v>258000</v>
      </c>
      <c r="B206" s="8">
        <v>50000</v>
      </c>
      <c r="C206" s="8"/>
      <c r="D206" s="1" t="s">
        <v>217</v>
      </c>
      <c r="E206" s="1" t="s">
        <v>216</v>
      </c>
    </row>
    <row r="207" spans="1:5" ht="28.5" customHeight="1" x14ac:dyDescent="0.2">
      <c r="A207" s="8">
        <f t="shared" ref="A207" si="15">A206+B207-C207</f>
        <v>329000</v>
      </c>
      <c r="B207" s="8">
        <v>71000</v>
      </c>
      <c r="C207" s="8"/>
      <c r="D207" s="1" t="s">
        <v>218</v>
      </c>
      <c r="E207" s="1" t="s">
        <v>146</v>
      </c>
    </row>
    <row r="208" spans="1:5" ht="28.5" customHeight="1" x14ac:dyDescent="0.2">
      <c r="A208" s="8">
        <f>A207+B208-C208</f>
        <v>518000</v>
      </c>
      <c r="B208" s="8">
        <v>189000</v>
      </c>
      <c r="C208" s="8"/>
      <c r="D208" s="1" t="s">
        <v>135</v>
      </c>
      <c r="E208" s="1" t="s">
        <v>219</v>
      </c>
    </row>
    <row r="209" spans="1:5" ht="28.5" customHeight="1" x14ac:dyDescent="0.2">
      <c r="A209" s="8">
        <f t="shared" ref="A209:A215" si="16">A208+B209-C209</f>
        <v>778000</v>
      </c>
      <c r="B209" s="8">
        <v>260000</v>
      </c>
      <c r="C209" s="8"/>
      <c r="D209" s="1" t="s">
        <v>221</v>
      </c>
      <c r="E209" s="1" t="s">
        <v>220</v>
      </c>
    </row>
    <row r="210" spans="1:5" ht="28.5" customHeight="1" x14ac:dyDescent="0.2">
      <c r="A210" s="8">
        <f t="shared" si="16"/>
        <v>894000</v>
      </c>
      <c r="B210" s="8">
        <v>116000</v>
      </c>
      <c r="C210" s="8"/>
      <c r="D210" s="1" t="s">
        <v>223</v>
      </c>
      <c r="E210" s="1" t="s">
        <v>222</v>
      </c>
    </row>
    <row r="211" spans="1:5" ht="28.5" customHeight="1" x14ac:dyDescent="0.2">
      <c r="A211" s="8">
        <f t="shared" si="16"/>
        <v>0</v>
      </c>
      <c r="B211" s="8"/>
      <c r="C211" s="8">
        <v>894000</v>
      </c>
      <c r="D211" s="1" t="s">
        <v>12</v>
      </c>
      <c r="E211" s="1" t="s">
        <v>224</v>
      </c>
    </row>
    <row r="212" spans="1:5" ht="28.5" customHeight="1" x14ac:dyDescent="0.2">
      <c r="A212" s="8">
        <f t="shared" si="16"/>
        <v>155000</v>
      </c>
      <c r="B212" s="8">
        <v>155000</v>
      </c>
      <c r="C212" s="8"/>
      <c r="D212" s="1" t="s">
        <v>135</v>
      </c>
      <c r="E212" s="1" t="s">
        <v>224</v>
      </c>
    </row>
    <row r="213" spans="1:5" ht="28.5" customHeight="1" x14ac:dyDescent="0.2">
      <c r="A213" s="8">
        <f t="shared" si="16"/>
        <v>355000</v>
      </c>
      <c r="B213" s="8">
        <v>200000</v>
      </c>
      <c r="C213" s="8"/>
      <c r="D213" s="1" t="s">
        <v>225</v>
      </c>
      <c r="E213" s="1"/>
    </row>
    <row r="214" spans="1:5" ht="28.5" customHeight="1" x14ac:dyDescent="0.2">
      <c r="A214" s="8">
        <f t="shared" si="16"/>
        <v>455000</v>
      </c>
      <c r="B214" s="8">
        <v>100000</v>
      </c>
      <c r="C214" s="8"/>
      <c r="D214" s="1" t="s">
        <v>159</v>
      </c>
      <c r="E214" s="1" t="s">
        <v>226</v>
      </c>
    </row>
    <row r="215" spans="1:5" ht="28.5" customHeight="1" x14ac:dyDescent="0.2">
      <c r="A215" s="8">
        <f t="shared" si="16"/>
        <v>551000</v>
      </c>
      <c r="B215" s="8">
        <v>96000</v>
      </c>
      <c r="C215" s="8"/>
      <c r="D215" s="1" t="s">
        <v>228</v>
      </c>
      <c r="E215" s="1" t="s">
        <v>227</v>
      </c>
    </row>
    <row r="216" spans="1:5" ht="28.5" customHeight="1" x14ac:dyDescent="0.2">
      <c r="B216" s="9">
        <f>SUM(B196:B215)+B190</f>
        <v>12373000</v>
      </c>
      <c r="C216" s="9">
        <f>SUM(C196:C215)+C190</f>
        <v>11822000</v>
      </c>
    </row>
    <row r="217" spans="1:5" ht="28.5" customHeight="1" x14ac:dyDescent="0.2"/>
    <row r="218" spans="1:5" ht="28.5" customHeight="1" x14ac:dyDescent="0.35">
      <c r="B218" s="15">
        <f>A215</f>
        <v>551000</v>
      </c>
      <c r="C218" s="17" t="s">
        <v>184</v>
      </c>
      <c r="D218" s="17"/>
    </row>
    <row r="219" spans="1:5" ht="28.5" customHeight="1" x14ac:dyDescent="0.2"/>
    <row r="220" spans="1:5" ht="28.5" customHeight="1" x14ac:dyDescent="0.3">
      <c r="A220" t="s">
        <v>10</v>
      </c>
      <c r="B220" s="2" t="s">
        <v>0</v>
      </c>
      <c r="C220" s="2"/>
    </row>
    <row r="221" spans="1:5" ht="28.5" customHeight="1" x14ac:dyDescent="0.35">
      <c r="A221" s="3" t="s">
        <v>4</v>
      </c>
      <c r="B221" s="4" t="s">
        <v>3</v>
      </c>
      <c r="C221" s="3" t="s">
        <v>1</v>
      </c>
      <c r="D221" s="5" t="s">
        <v>2</v>
      </c>
      <c r="E221" s="5" t="s">
        <v>7</v>
      </c>
    </row>
    <row r="222" spans="1:5" ht="28.5" customHeight="1" x14ac:dyDescent="0.2">
      <c r="A222" s="8">
        <f>B218+B222-C222</f>
        <v>201000</v>
      </c>
      <c r="B222" s="8"/>
      <c r="C222" s="8">
        <v>350000</v>
      </c>
      <c r="D222" s="1" t="s">
        <v>230</v>
      </c>
      <c r="E222" s="1" t="s">
        <v>229</v>
      </c>
    </row>
    <row r="223" spans="1:5" ht="28.5" customHeight="1" x14ac:dyDescent="0.2">
      <c r="A223" s="8">
        <f>A222+B223-C223</f>
        <v>301000</v>
      </c>
      <c r="B223" s="8">
        <v>100000</v>
      </c>
      <c r="C223" s="8"/>
      <c r="D223" s="1" t="s">
        <v>231</v>
      </c>
      <c r="E223" s="1"/>
    </row>
    <row r="224" spans="1:5" ht="28.5" customHeight="1" x14ac:dyDescent="0.2">
      <c r="A224" s="8">
        <f t="shared" ref="A224:A231" si="17">A223+B224-C224</f>
        <v>-99000</v>
      </c>
      <c r="B224" s="8"/>
      <c r="C224" s="8">
        <v>400000</v>
      </c>
      <c r="D224" s="1" t="s">
        <v>12</v>
      </c>
      <c r="E224" s="1" t="s">
        <v>232</v>
      </c>
    </row>
    <row r="225" spans="1:5" ht="28.5" customHeight="1" x14ac:dyDescent="0.2">
      <c r="A225" s="8">
        <f t="shared" si="17"/>
        <v>-59000</v>
      </c>
      <c r="B225" s="8">
        <v>40000</v>
      </c>
      <c r="C225" s="8"/>
      <c r="D225" s="1" t="s">
        <v>52</v>
      </c>
      <c r="E225" s="1" t="s">
        <v>233</v>
      </c>
    </row>
    <row r="226" spans="1:5" ht="28.5" customHeight="1" x14ac:dyDescent="0.2">
      <c r="A226" s="8">
        <f t="shared" si="17"/>
        <v>-9000</v>
      </c>
      <c r="B226" s="8">
        <v>50000</v>
      </c>
      <c r="C226" s="8"/>
      <c r="D226" s="1" t="s">
        <v>79</v>
      </c>
      <c r="E226" s="1" t="s">
        <v>234</v>
      </c>
    </row>
    <row r="227" spans="1:5" ht="28.5" customHeight="1" x14ac:dyDescent="0.2">
      <c r="A227" s="8">
        <f t="shared" si="17"/>
        <v>-549000</v>
      </c>
      <c r="B227" s="8"/>
      <c r="C227" s="8">
        <v>540000</v>
      </c>
      <c r="D227" s="1" t="s">
        <v>236</v>
      </c>
      <c r="E227" s="1" t="s">
        <v>235</v>
      </c>
    </row>
    <row r="228" spans="1:5" ht="28.5" customHeight="1" x14ac:dyDescent="0.2">
      <c r="A228" s="8">
        <f t="shared" si="17"/>
        <v>-549000</v>
      </c>
      <c r="B228" s="8"/>
      <c r="C228" s="8"/>
      <c r="D228" s="1"/>
      <c r="E228" s="1"/>
    </row>
    <row r="229" spans="1:5" ht="28.5" customHeight="1" x14ac:dyDescent="0.2">
      <c r="A229" s="8">
        <f t="shared" si="17"/>
        <v>-549000</v>
      </c>
      <c r="B229" s="8"/>
      <c r="C229" s="8"/>
      <c r="D229" s="1"/>
      <c r="E229" s="1"/>
    </row>
    <row r="230" spans="1:5" ht="28.5" customHeight="1" x14ac:dyDescent="0.2">
      <c r="A230" s="8">
        <f t="shared" si="17"/>
        <v>-549000</v>
      </c>
      <c r="B230" s="8"/>
      <c r="C230" s="8"/>
      <c r="D230" s="1"/>
      <c r="E230" s="1"/>
    </row>
    <row r="231" spans="1:5" ht="28.5" customHeight="1" x14ac:dyDescent="0.2">
      <c r="A231" s="8">
        <f t="shared" si="17"/>
        <v>-549000</v>
      </c>
      <c r="B231" s="8"/>
      <c r="C231" s="8"/>
      <c r="D231" s="1"/>
      <c r="E231" s="1"/>
    </row>
    <row r="232" spans="1:5" ht="28.5" customHeight="1" x14ac:dyDescent="0.2">
      <c r="A232" s="8">
        <f>A231+B232-C232</f>
        <v>-549000</v>
      </c>
      <c r="B232" s="8"/>
      <c r="C232" s="8"/>
      <c r="D232" s="1"/>
      <c r="E232" s="1"/>
    </row>
    <row r="233" spans="1:5" ht="28.5" customHeight="1" x14ac:dyDescent="0.2">
      <c r="A233" s="8">
        <f t="shared" ref="A233" si="18">A232+B233-C233</f>
        <v>-549000</v>
      </c>
      <c r="B233" s="8"/>
      <c r="C233" s="8"/>
      <c r="D233" s="1"/>
      <c r="E233" s="1"/>
    </row>
    <row r="234" spans="1:5" ht="28.5" customHeight="1" x14ac:dyDescent="0.2">
      <c r="A234" s="8">
        <f>A233+B234-C234</f>
        <v>-549000</v>
      </c>
      <c r="B234" s="8"/>
      <c r="C234" s="8"/>
      <c r="D234" s="1"/>
      <c r="E234" s="1"/>
    </row>
    <row r="235" spans="1:5" ht="28.5" customHeight="1" x14ac:dyDescent="0.2">
      <c r="A235" s="8">
        <f t="shared" ref="A235:A241" si="19">A234+B235-C235</f>
        <v>-549000</v>
      </c>
      <c r="B235" s="8"/>
      <c r="C235" s="8"/>
      <c r="D235" s="1"/>
      <c r="E235" s="1"/>
    </row>
    <row r="236" spans="1:5" ht="28.5" customHeight="1" x14ac:dyDescent="0.2">
      <c r="A236" s="8">
        <f t="shared" si="19"/>
        <v>-549000</v>
      </c>
      <c r="B236" s="8"/>
      <c r="C236" s="8"/>
      <c r="D236" s="1"/>
      <c r="E236" s="1"/>
    </row>
    <row r="237" spans="1:5" ht="28.5" customHeight="1" x14ac:dyDescent="0.2">
      <c r="A237" s="8">
        <f t="shared" si="19"/>
        <v>-549000</v>
      </c>
      <c r="B237" s="8"/>
      <c r="C237" s="8"/>
      <c r="D237" s="1"/>
      <c r="E237" s="1"/>
    </row>
    <row r="238" spans="1:5" ht="28.5" customHeight="1" x14ac:dyDescent="0.2">
      <c r="A238" s="8">
        <f t="shared" si="19"/>
        <v>-549000</v>
      </c>
      <c r="B238" s="8"/>
      <c r="C238" s="8"/>
      <c r="D238" s="1"/>
      <c r="E238" s="1"/>
    </row>
    <row r="239" spans="1:5" ht="28.5" customHeight="1" x14ac:dyDescent="0.2">
      <c r="A239" s="8">
        <f t="shared" si="19"/>
        <v>-549000</v>
      </c>
      <c r="B239" s="8"/>
      <c r="C239" s="8"/>
      <c r="D239" s="1"/>
      <c r="E239" s="1"/>
    </row>
    <row r="240" spans="1:5" ht="28.5" customHeight="1" x14ac:dyDescent="0.2">
      <c r="A240" s="8">
        <f t="shared" si="19"/>
        <v>-549000</v>
      </c>
      <c r="B240" s="8"/>
      <c r="C240" s="8"/>
      <c r="D240" s="1"/>
      <c r="E240" s="1"/>
    </row>
    <row r="241" spans="1:5" ht="28.5" customHeight="1" x14ac:dyDescent="0.2">
      <c r="A241" s="8">
        <f t="shared" si="19"/>
        <v>-549000</v>
      </c>
      <c r="B241" s="8"/>
      <c r="C241" s="8"/>
      <c r="D241" s="1"/>
      <c r="E241" s="1"/>
    </row>
    <row r="242" spans="1:5" ht="28.5" customHeight="1" x14ac:dyDescent="0.2">
      <c r="B242" s="9">
        <f>SUM(B222:B241)+B216</f>
        <v>12563000</v>
      </c>
      <c r="C242" s="9">
        <f>SUM(C222:C241)+C216</f>
        <v>13112000</v>
      </c>
    </row>
    <row r="243" spans="1:5" ht="28.5" customHeight="1" x14ac:dyDescent="0.2"/>
    <row r="244" spans="1:5" ht="28.5" customHeight="1" x14ac:dyDescent="0.35">
      <c r="B244" s="15">
        <f>A241</f>
        <v>-549000</v>
      </c>
      <c r="C244" s="17" t="s">
        <v>184</v>
      </c>
      <c r="D244" s="17"/>
    </row>
    <row r="245" spans="1:5" ht="28.5" customHeight="1" x14ac:dyDescent="0.2"/>
    <row r="246" spans="1:5" ht="28.5" customHeight="1" x14ac:dyDescent="0.2"/>
    <row r="247" spans="1:5" ht="28.5" customHeight="1" x14ac:dyDescent="0.2"/>
    <row r="248" spans="1:5" ht="28.5" customHeight="1" x14ac:dyDescent="0.2"/>
    <row r="249" spans="1:5" ht="28.5" customHeight="1" x14ac:dyDescent="0.2"/>
    <row r="250" spans="1:5" ht="28.5" customHeight="1" x14ac:dyDescent="0.2"/>
    <row r="251" spans="1:5" ht="28.5" customHeight="1" x14ac:dyDescent="0.2"/>
    <row r="252" spans="1:5" ht="28.5" customHeight="1" x14ac:dyDescent="0.2"/>
    <row r="253" spans="1:5" ht="28.5" customHeight="1" x14ac:dyDescent="0.2"/>
    <row r="254" spans="1:5" ht="28.5" customHeight="1" x14ac:dyDescent="0.2"/>
    <row r="255" spans="1:5" ht="28.5" customHeight="1" x14ac:dyDescent="0.2"/>
    <row r="256" spans="1:5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7">
    <mergeCell ref="C244:D244"/>
    <mergeCell ref="C218:D218"/>
    <mergeCell ref="C85:D85"/>
    <mergeCell ref="C112:D112"/>
    <mergeCell ref="C138:D138"/>
    <mergeCell ref="C165:D165"/>
    <mergeCell ref="C192:D192"/>
  </mergeCells>
  <conditionalFormatting sqref="B112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38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65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92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18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4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2026-10-21T16:07:00Z</dcterms:modified>
</cp:coreProperties>
</file>