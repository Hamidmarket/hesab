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16" i="1" l="1"/>
  <c r="B216" i="1"/>
  <c r="A196" i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B218" i="1" s="1"/>
  <c r="H2" i="1" s="1"/>
  <c r="C190" i="1" l="1"/>
  <c r="B190" i="1"/>
  <c r="A170" i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B192" i="1" s="1"/>
  <c r="C110" i="1" l="1"/>
  <c r="B110" i="1"/>
  <c r="B136" i="1"/>
  <c r="B163" i="1" s="1"/>
  <c r="A143" i="1" l="1"/>
  <c r="A144" i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B165" i="1" s="1"/>
  <c r="C136" i="1" l="1"/>
  <c r="C163" i="1" s="1"/>
  <c r="A116" i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B138" i="1" s="1"/>
  <c r="A65" i="1" l="1"/>
  <c r="A66" i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64" i="1"/>
  <c r="A63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 l="1"/>
  <c r="B16" i="1" l="1"/>
  <c r="B35" i="1" s="1"/>
  <c r="B54" i="1" s="1"/>
  <c r="B83" i="1" s="1"/>
  <c r="C16" i="1" l="1"/>
  <c r="C35" i="1" s="1"/>
  <c r="C54" i="1" s="1"/>
  <c r="C83" i="1" s="1"/>
  <c r="C17" i="1" l="1"/>
  <c r="C36" i="1" s="1"/>
  <c r="C55" i="1" s="1"/>
  <c r="B85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B112" i="1" s="1"/>
</calcChain>
</file>

<file path=xl/sharedStrings.xml><?xml version="1.0" encoding="utf-8"?>
<sst xmlns="http://schemas.openxmlformats.org/spreadsheetml/2006/main" count="373" uniqueCount="219">
  <si>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</si>
  <si>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</si>
  <si>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</si>
  <si>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</si>
  <si>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</si>
  <si>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</si>
  <si>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</si>
  <si>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</si>
  <si>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</si>
  <si>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</si>
  <si>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صالح رحمتی</t>
  </si>
  <si>
    <t>دنگ پل دواب</t>
  </si>
  <si>
    <t>وجه</t>
  </si>
  <si>
    <t>1404/01/29</t>
  </si>
  <si>
    <t>سوسیس سس</t>
  </si>
  <si>
    <t>1404/01/30</t>
  </si>
  <si>
    <t>1404/02/01</t>
  </si>
  <si>
    <t>بستنی</t>
  </si>
  <si>
    <t>1404/02/04</t>
  </si>
  <si>
    <t>پول نقد</t>
  </si>
  <si>
    <t>1404/02/05</t>
  </si>
  <si>
    <t>کیک</t>
  </si>
  <si>
    <t>1404/02/06</t>
  </si>
  <si>
    <t>دنگ سیگار بنشتنه فوتبالی</t>
  </si>
  <si>
    <t>1404/02/08</t>
  </si>
  <si>
    <t xml:space="preserve">پول داده </t>
  </si>
  <si>
    <t>1404/02/11</t>
  </si>
  <si>
    <t xml:space="preserve">بستنی </t>
  </si>
  <si>
    <t>1404/02/12</t>
  </si>
  <si>
    <t xml:space="preserve">سیگار لیموناد </t>
  </si>
  <si>
    <t>1404/02/017</t>
  </si>
  <si>
    <t>1404/02/19</t>
  </si>
  <si>
    <t>دنگ سیگار پل دواب</t>
  </si>
  <si>
    <t>1404/02/29</t>
  </si>
  <si>
    <t>1404/02/31</t>
  </si>
  <si>
    <t>یستنی</t>
  </si>
  <si>
    <t>1404/03/06</t>
  </si>
  <si>
    <t>لیموناد کیک</t>
  </si>
  <si>
    <t>1404/03/5</t>
  </si>
  <si>
    <t>1404/03/12</t>
  </si>
  <si>
    <t>وجه شابلون</t>
  </si>
  <si>
    <t>1404/03/13</t>
  </si>
  <si>
    <t>1404/02/13</t>
  </si>
  <si>
    <t>رامتین</t>
  </si>
  <si>
    <t>1404/03/15</t>
  </si>
  <si>
    <t>رانی</t>
  </si>
  <si>
    <t>1404/03/18</t>
  </si>
  <si>
    <t>پول بستنی</t>
  </si>
  <si>
    <t>دنگ بستنی شرک</t>
  </si>
  <si>
    <t>1404/03/20</t>
  </si>
  <si>
    <t>1404/03/23</t>
  </si>
  <si>
    <t>دنگ باغ زیبا</t>
  </si>
  <si>
    <t>سیگار</t>
  </si>
  <si>
    <t>1404/04/25</t>
  </si>
  <si>
    <t>سوسیس سس کیک سیکال</t>
  </si>
  <si>
    <t xml:space="preserve">وجه </t>
  </si>
  <si>
    <t>1404/05/05</t>
  </si>
  <si>
    <t>سیگار بستنی</t>
  </si>
  <si>
    <t xml:space="preserve">دنگ سیگار </t>
  </si>
  <si>
    <t>1404/05/07</t>
  </si>
  <si>
    <t>1404/05/10</t>
  </si>
  <si>
    <t>جیگر</t>
  </si>
  <si>
    <t>1404/05/13</t>
  </si>
  <si>
    <t>چیپس مفز بادام</t>
  </si>
  <si>
    <t>1404/05/14</t>
  </si>
  <si>
    <t>1404/05/23</t>
  </si>
  <si>
    <t>بستنی انبه ای</t>
  </si>
  <si>
    <t>1404/05/31</t>
  </si>
  <si>
    <t>یخمک بستنی</t>
  </si>
  <si>
    <t>1404/05/28</t>
  </si>
  <si>
    <t>دنگ عرق خونه حاج علی</t>
  </si>
  <si>
    <t>1404/06/01</t>
  </si>
  <si>
    <t>دنگ آبجو</t>
  </si>
  <si>
    <t>1404/06/08</t>
  </si>
  <si>
    <t>قهوه سیگار</t>
  </si>
  <si>
    <t>وجه امیر خان</t>
  </si>
  <si>
    <t>1404/06/13</t>
  </si>
  <si>
    <t>کانتی سیگار</t>
  </si>
  <si>
    <t>1404/06/15</t>
  </si>
  <si>
    <t>آدامس</t>
  </si>
  <si>
    <t>جمع بدهی با احتساب آخرین فاکتور :</t>
  </si>
  <si>
    <t>1404/06/22</t>
  </si>
  <si>
    <t>کاکائو</t>
  </si>
  <si>
    <t>1404/06/27</t>
  </si>
  <si>
    <t>1404/06/28</t>
  </si>
  <si>
    <t>کاکائو بستنی</t>
  </si>
  <si>
    <t>1404/06/30</t>
  </si>
  <si>
    <t>دنگ نیم متری</t>
  </si>
  <si>
    <t>1404/06/29</t>
  </si>
  <si>
    <t>کاکئو</t>
  </si>
  <si>
    <t>1404/06/31</t>
  </si>
  <si>
    <t>وجه جیگر</t>
  </si>
  <si>
    <t>1404/07/01</t>
  </si>
  <si>
    <t>تودی</t>
  </si>
  <si>
    <t>1404/07/03</t>
  </si>
  <si>
    <t>کاکائو سگار</t>
  </si>
  <si>
    <t>1404/07/07</t>
  </si>
  <si>
    <t>نودل</t>
  </si>
  <si>
    <t>1404/07/12</t>
  </si>
  <si>
    <t>نم شی</t>
  </si>
  <si>
    <t>سیبب موز اوشو</t>
  </si>
  <si>
    <t>برگه پنس</t>
  </si>
  <si>
    <t>1404/07/13</t>
  </si>
  <si>
    <t xml:space="preserve">کاکائو  </t>
  </si>
  <si>
    <t>1404/08/01</t>
  </si>
  <si>
    <t>دنگ مزه</t>
  </si>
  <si>
    <t>-</t>
  </si>
  <si>
    <t>دنگ کاکو و جیگر</t>
  </si>
  <si>
    <t>1404/08/12</t>
  </si>
  <si>
    <t>1404/08/19</t>
  </si>
  <si>
    <t>قهوه تو دی</t>
  </si>
  <si>
    <t>1404/09/05</t>
  </si>
  <si>
    <t>1404/09/09</t>
  </si>
  <si>
    <t>1404/09/21</t>
  </si>
  <si>
    <t>1404/09/30</t>
  </si>
  <si>
    <t>دنگ همبرگر</t>
  </si>
  <si>
    <t>1404/10/04</t>
  </si>
  <si>
    <t>1404/10/10</t>
  </si>
  <si>
    <t>کروس</t>
  </si>
  <si>
    <t>1404/11/15</t>
  </si>
  <si>
    <t>1404/11/17</t>
  </si>
  <si>
    <t>شکلات</t>
  </si>
  <si>
    <t>1404/11/18</t>
  </si>
  <si>
    <t>عطر آدامس</t>
  </si>
  <si>
    <t>1404/11/26</t>
  </si>
  <si>
    <t>کوپا</t>
  </si>
  <si>
    <t>1404/12/04</t>
  </si>
  <si>
    <t>1404/12/08</t>
  </si>
  <si>
    <t>دنگ گول بازی</t>
  </si>
  <si>
    <t>دنگ ساندویچ</t>
  </si>
  <si>
    <t>ریختم به حساب</t>
  </si>
  <si>
    <t>1404/12/11</t>
  </si>
  <si>
    <t>1404/12/13</t>
  </si>
  <si>
    <t>ازو گرونا</t>
  </si>
  <si>
    <t>1404/12/14</t>
  </si>
  <si>
    <t>گول بازی</t>
  </si>
  <si>
    <t>1404/12/15</t>
  </si>
  <si>
    <t>1404/12/20</t>
  </si>
  <si>
    <t>دلستر</t>
  </si>
  <si>
    <t>1404/12/22</t>
  </si>
  <si>
    <t>1404/12/24</t>
  </si>
  <si>
    <t>1404/1225</t>
  </si>
  <si>
    <t>1404/12/26</t>
  </si>
  <si>
    <t>1404/12/27</t>
  </si>
  <si>
    <t>جعفر پیسه</t>
  </si>
  <si>
    <t>1404/12/29</t>
  </si>
  <si>
    <t>1405/01/01</t>
  </si>
  <si>
    <t>1405/01/02</t>
  </si>
  <si>
    <t>1405/01/06</t>
  </si>
  <si>
    <t>بستنی چسب</t>
  </si>
  <si>
    <t>1405/01/07</t>
  </si>
  <si>
    <t>بادام</t>
  </si>
  <si>
    <t>1405/01/18</t>
  </si>
  <si>
    <t>ابمیوه</t>
  </si>
  <si>
    <t>1405/01/30</t>
  </si>
  <si>
    <t>1405/02/04</t>
  </si>
  <si>
    <t>ساقع طلایی</t>
  </si>
  <si>
    <t>1405/02/15</t>
  </si>
  <si>
    <t xml:space="preserve">دنگ تهران </t>
  </si>
  <si>
    <t>پول</t>
  </si>
  <si>
    <t>1405/02/18</t>
  </si>
  <si>
    <t>ادامس</t>
  </si>
  <si>
    <t>1405/02/21</t>
  </si>
  <si>
    <t>دنگ استخر</t>
  </si>
  <si>
    <t>دنگ فلافل</t>
  </si>
  <si>
    <t>1405/02/24</t>
  </si>
  <si>
    <t>بستنی خونی</t>
  </si>
  <si>
    <t>موبایل</t>
  </si>
  <si>
    <t>1405/03/05</t>
  </si>
  <si>
    <t>ابمیوه پچپچ</t>
  </si>
  <si>
    <t>1405/03/10</t>
  </si>
  <si>
    <t>1405/03/14</t>
  </si>
  <si>
    <t>سیگار اب البالو</t>
  </si>
  <si>
    <t>1405/03/16</t>
  </si>
  <si>
    <t>1405/03/19</t>
  </si>
  <si>
    <t>انرژی زا چیپس</t>
  </si>
  <si>
    <t>1405/03/22</t>
  </si>
  <si>
    <t>1405/03/30</t>
  </si>
  <si>
    <t>1405/04/01</t>
  </si>
  <si>
    <t>1405/04/02</t>
  </si>
  <si>
    <t>xs</t>
  </si>
  <si>
    <t>1405/04/05</t>
  </si>
  <si>
    <t>1405/04/06</t>
  </si>
  <si>
    <t>بنزین</t>
  </si>
  <si>
    <t>جمع کل حساب با احتساب آخرین فاکتور :</t>
  </si>
  <si>
    <t>1405/04/10</t>
  </si>
  <si>
    <t>1405/04/12</t>
  </si>
  <si>
    <t>سیگار عطر</t>
  </si>
  <si>
    <t>1405/04/13</t>
  </si>
  <si>
    <t>1405/04/14</t>
  </si>
  <si>
    <t>وجه گول بازی تکیه</t>
  </si>
  <si>
    <t>1405/04/15</t>
  </si>
  <si>
    <t xml:space="preserve">مغز تخمه </t>
  </si>
  <si>
    <t>وج کابل</t>
  </si>
  <si>
    <t>1405/04/17</t>
  </si>
  <si>
    <t>1405/04/19</t>
  </si>
  <si>
    <t>1405/04/27</t>
  </si>
  <si>
    <t>1405/04.29</t>
  </si>
  <si>
    <t>1405/04/30</t>
  </si>
  <si>
    <t>طلب چراغ</t>
  </si>
  <si>
    <t>1405/05/02</t>
  </si>
  <si>
    <t>ادامس سیگار</t>
  </si>
  <si>
    <t>1405/05/09</t>
  </si>
  <si>
    <t xml:space="preserve">رانی سیگار </t>
  </si>
  <si>
    <t>1405/05/10</t>
  </si>
  <si>
    <t>وجه کله ای برچسب</t>
  </si>
  <si>
    <t xml:space="preserve">وجه  </t>
  </si>
  <si>
    <t>1405/05/13</t>
  </si>
  <si>
    <t>بستنی سیگار</t>
  </si>
  <si>
    <t>گول بازی مزه باغ دامو</t>
  </si>
  <si>
    <t>1405/05/21</t>
  </si>
  <si>
    <t>انرژی زا</t>
  </si>
  <si>
    <t>1405/05/22</t>
  </si>
  <si>
    <t>1405/05/23</t>
  </si>
  <si>
    <t>دلستر کیک سیگار</t>
  </si>
  <si>
    <t>1405/05/26</t>
  </si>
  <si>
    <t>1405/05/31</t>
  </si>
  <si>
    <t>پچ پچ</t>
  </si>
  <si>
    <t>مزه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</si>
</sst>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  <font>
      <sz val="12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2" fillId="0" borderId="1" xfId="0" applyNumberFormat="1" applyFont="1" applyBorder="1"/>
    <xf numFmtId="0" fontId="5" fillId="0" borderId="1" xfId="0" applyFont="1" applyBorder="1"/>
    <xf numFmtId="3" fontId="6" fillId="0" borderId="0" xfId="0" applyNumberFormat="1" applyFont="1"/>
    <xf numFmtId="3" fontId="7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 applyFill="1"/>
    <xf numFmtId="3" fontId="0" fillId="0" borderId="1" xfId="0" applyNumberFormat="1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5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04"/>
  <sheetViews>
    <sheetView tabSelected="1" topLeftCell="A202" zoomScaleNormal="100" workbookViewId="0">
      <selection activeCell="B208" sqref="B208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B218</f>
        <v>329000</v>
      </c>
    </row>
    <row r="3" spans="1:8" ht="42.75" customHeight="1" x14ac:dyDescent="0.2">
      <c r="A3" s="1">
        <f xml:space="preserve"> B3</f>
        <v>145000</v>
      </c>
      <c r="B3" s="1">
        <v>145000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0</v>
      </c>
      <c r="B4" s="1"/>
      <c r="C4" s="1">
        <v>145000</v>
      </c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24000</v>
      </c>
      <c r="B5" s="1">
        <v>24000</v>
      </c>
      <c r="C5" s="1"/>
      <c r="D5" s="1" t="s">
        <v>14</v>
      </c>
      <c r="E5" s="1" t="s">
        <v>13</v>
      </c>
    </row>
    <row r="6" spans="1:8" ht="42.75" customHeight="1" x14ac:dyDescent="0.2">
      <c r="A6" s="1">
        <f t="shared" si="0"/>
        <v>82000</v>
      </c>
      <c r="B6" s="1">
        <v>58000</v>
      </c>
      <c r="C6" s="1"/>
      <c r="D6" s="1" t="s">
        <v>11</v>
      </c>
      <c r="E6" s="1" t="s">
        <v>13</v>
      </c>
    </row>
    <row r="7" spans="1:8" ht="43.5" customHeight="1" x14ac:dyDescent="0.2">
      <c r="A7" s="1">
        <f t="shared" si="0"/>
        <v>0</v>
      </c>
      <c r="B7" s="1"/>
      <c r="C7" s="1">
        <v>82000</v>
      </c>
      <c r="D7" s="1" t="s">
        <v>12</v>
      </c>
      <c r="E7" s="1" t="s">
        <v>15</v>
      </c>
    </row>
    <row r="8" spans="1:8" ht="42.75" customHeight="1" x14ac:dyDescent="0.2">
      <c r="A8" s="1">
        <f t="shared" si="0"/>
        <v>15000</v>
      </c>
      <c r="B8" s="1">
        <v>15000</v>
      </c>
      <c r="C8" s="1"/>
      <c r="D8" s="1" t="s">
        <v>17</v>
      </c>
      <c r="E8" s="1" t="s">
        <v>16</v>
      </c>
    </row>
    <row r="9" spans="1:8" ht="43.5" customHeight="1" x14ac:dyDescent="0.2">
      <c r="A9" s="1">
        <f t="shared" si="0"/>
        <v>75000</v>
      </c>
      <c r="B9" s="1">
        <v>60000</v>
      </c>
      <c r="C9" s="1"/>
      <c r="D9" s="1" t="s">
        <v>19</v>
      </c>
      <c r="E9" s="1" t="s">
        <v>18</v>
      </c>
    </row>
    <row r="10" spans="1:8" ht="43.5" customHeight="1" x14ac:dyDescent="0.2">
      <c r="A10" s="1">
        <f t="shared" si="0"/>
        <v>85000</v>
      </c>
      <c r="B10" s="1">
        <v>10000</v>
      </c>
      <c r="C10" s="1"/>
      <c r="D10" s="1" t="s">
        <v>21</v>
      </c>
      <c r="E10" s="1" t="s">
        <v>20</v>
      </c>
    </row>
    <row r="11" spans="1:8" ht="42.75" customHeight="1" x14ac:dyDescent="0.2">
      <c r="A11" s="1">
        <f t="shared" si="0"/>
        <v>485000</v>
      </c>
      <c r="B11" s="1">
        <v>400000</v>
      </c>
      <c r="C11" s="1"/>
      <c r="D11" s="1" t="s">
        <v>19</v>
      </c>
      <c r="E11" s="1" t="s">
        <v>22</v>
      </c>
    </row>
    <row r="12" spans="1:8" ht="42" customHeight="1" x14ac:dyDescent="0.2">
      <c r="A12" s="1">
        <f t="shared" si="0"/>
        <v>0</v>
      </c>
      <c r="B12" s="1"/>
      <c r="C12" s="1">
        <v>485000</v>
      </c>
      <c r="D12" s="1" t="s">
        <v>12</v>
      </c>
      <c r="E12" s="1" t="s">
        <v>22</v>
      </c>
    </row>
    <row r="13" spans="1:8" ht="43.5" customHeight="1" x14ac:dyDescent="0.2">
      <c r="A13" s="1">
        <f t="shared" si="0"/>
        <v>22000</v>
      </c>
      <c r="B13" s="1">
        <v>22000</v>
      </c>
      <c r="C13" s="1"/>
      <c r="D13" s="1" t="s">
        <v>23</v>
      </c>
      <c r="E13" s="1" t="s">
        <v>22</v>
      </c>
    </row>
    <row r="14" spans="1:8" ht="42" customHeight="1" x14ac:dyDescent="0.2">
      <c r="A14" s="1">
        <f t="shared" si="0"/>
        <v>0</v>
      </c>
      <c r="B14" s="1"/>
      <c r="C14" s="1">
        <v>22000</v>
      </c>
      <c r="D14" s="1" t="s">
        <v>12</v>
      </c>
      <c r="E14" s="7">
        <v>38024</v>
      </c>
    </row>
    <row r="15" spans="1:8" ht="42.75" customHeight="1" x14ac:dyDescent="0.2">
      <c r="A15" s="1">
        <f t="shared" si="0"/>
        <v>-100000</v>
      </c>
      <c r="B15" s="1"/>
      <c r="C15" s="1">
        <v>100000</v>
      </c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734000</v>
      </c>
      <c r="C16">
        <f xml:space="preserve"> C3 + C4 + C5 + C6 + C7 + C8 + C9 + C10 + C11 + C12 + C13 + C14 + C15</f>
        <v>834000</v>
      </c>
    </row>
    <row r="17" spans="1:5" ht="43.5" customHeight="1" x14ac:dyDescent="0.25">
      <c r="C17">
        <f xml:space="preserve"> A15</f>
        <v>-100000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3.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3.5" customHeight="1" x14ac:dyDescent="0.2">
      <c r="A22" s="1">
        <f>C17+B22-C22</f>
        <v>-85000</v>
      </c>
      <c r="B22" s="1">
        <v>15000</v>
      </c>
      <c r="C22" s="1"/>
      <c r="D22" s="1" t="s">
        <v>27</v>
      </c>
      <c r="E22" s="1" t="s">
        <v>26</v>
      </c>
    </row>
    <row r="23" spans="1:5" ht="42" customHeight="1" x14ac:dyDescent="0.2">
      <c r="A23" s="1">
        <f xml:space="preserve"> A22 + B23-C23</f>
        <v>-5000</v>
      </c>
      <c r="B23" s="1">
        <v>80000</v>
      </c>
      <c r="C23" s="1"/>
      <c r="D23" s="1" t="s">
        <v>29</v>
      </c>
      <c r="E23" s="1" t="s">
        <v>28</v>
      </c>
    </row>
    <row r="24" spans="1:5" ht="42.75" customHeight="1" x14ac:dyDescent="0.2">
      <c r="A24" s="1">
        <f t="shared" ref="A24:A34" si="1" xml:space="preserve"> A23 + B24-C24</f>
        <v>19000</v>
      </c>
      <c r="B24" s="1">
        <v>24000</v>
      </c>
      <c r="C24" s="1"/>
      <c r="D24" s="1" t="s">
        <v>11</v>
      </c>
      <c r="E24" s="1" t="s">
        <v>28</v>
      </c>
    </row>
    <row r="25" spans="1:5" ht="43.5" customHeight="1" x14ac:dyDescent="0.2">
      <c r="A25" s="1">
        <f t="shared" si="1"/>
        <v>34000</v>
      </c>
      <c r="B25" s="1">
        <v>15000</v>
      </c>
      <c r="C25" s="1"/>
      <c r="D25" s="1" t="s">
        <v>27</v>
      </c>
      <c r="E25" s="1" t="s">
        <v>30</v>
      </c>
    </row>
    <row r="26" spans="1:5" ht="43.5" customHeight="1" x14ac:dyDescent="0.2">
      <c r="A26" s="1">
        <f t="shared" si="1"/>
        <v>50000</v>
      </c>
      <c r="B26" s="1">
        <v>16000</v>
      </c>
      <c r="C26" s="1"/>
      <c r="D26" s="1" t="s">
        <v>32</v>
      </c>
      <c r="E26" s="1" t="s">
        <v>31</v>
      </c>
    </row>
    <row r="27" spans="1:5" ht="42" customHeight="1" x14ac:dyDescent="0.2">
      <c r="A27" s="1">
        <f t="shared" si="1"/>
        <v>0</v>
      </c>
      <c r="B27" s="1"/>
      <c r="C27" s="1">
        <v>50000</v>
      </c>
      <c r="D27" s="1" t="s">
        <v>12</v>
      </c>
      <c r="E27" s="1" t="s">
        <v>33</v>
      </c>
    </row>
    <row r="28" spans="1:5" ht="42.75" customHeight="1" x14ac:dyDescent="0.2">
      <c r="A28" s="1">
        <f t="shared" si="1"/>
        <v>15000</v>
      </c>
      <c r="B28" s="1">
        <v>15000</v>
      </c>
      <c r="C28" s="1"/>
      <c r="D28" s="1" t="s">
        <v>35</v>
      </c>
      <c r="E28" s="1" t="s">
        <v>34</v>
      </c>
    </row>
    <row r="29" spans="1:5" ht="42.75" customHeight="1" x14ac:dyDescent="0.2">
      <c r="A29" s="1">
        <f t="shared" si="1"/>
        <v>55000</v>
      </c>
      <c r="B29" s="1">
        <v>40000</v>
      </c>
      <c r="C29" s="1"/>
      <c r="D29" s="1" t="s">
        <v>37</v>
      </c>
      <c r="E29" s="1" t="s">
        <v>36</v>
      </c>
    </row>
    <row r="30" spans="1:5" ht="42" customHeight="1" x14ac:dyDescent="0.2">
      <c r="A30" s="1">
        <f t="shared" si="1"/>
        <v>40000</v>
      </c>
      <c r="B30" s="1"/>
      <c r="C30" s="1">
        <v>15000</v>
      </c>
      <c r="D30" s="1" t="s">
        <v>12</v>
      </c>
      <c r="E30" s="1" t="s">
        <v>38</v>
      </c>
    </row>
    <row r="31" spans="1:5" ht="42" customHeight="1" x14ac:dyDescent="0.2">
      <c r="A31" s="1">
        <f t="shared" si="1"/>
        <v>60000</v>
      </c>
      <c r="B31" s="1">
        <v>20000</v>
      </c>
      <c r="C31" s="1"/>
      <c r="D31" s="1" t="s">
        <v>27</v>
      </c>
      <c r="E31" s="1" t="s">
        <v>39</v>
      </c>
    </row>
    <row r="32" spans="1:5" ht="41.25" customHeight="1" x14ac:dyDescent="0.2">
      <c r="A32" s="1">
        <f t="shared" si="1"/>
        <v>-90000</v>
      </c>
      <c r="B32" s="1"/>
      <c r="C32" s="1">
        <v>150000</v>
      </c>
      <c r="D32" s="1" t="s">
        <v>40</v>
      </c>
      <c r="E32" s="1" t="s">
        <v>39</v>
      </c>
    </row>
    <row r="33" spans="1:5" ht="44.25" customHeight="1" x14ac:dyDescent="0.2">
      <c r="A33" s="1">
        <f t="shared" si="1"/>
        <v>10000</v>
      </c>
      <c r="B33" s="1">
        <v>100000</v>
      </c>
      <c r="C33" s="1"/>
      <c r="D33" s="1" t="s">
        <v>19</v>
      </c>
      <c r="E33" s="7" t="s">
        <v>41</v>
      </c>
    </row>
    <row r="34" spans="1:5" ht="42" customHeight="1" x14ac:dyDescent="0.2">
      <c r="A34" s="1">
        <f t="shared" si="1"/>
        <v>82000</v>
      </c>
      <c r="B34" s="1">
        <v>72000</v>
      </c>
      <c r="C34" s="1"/>
      <c r="D34" s="1" t="s">
        <v>43</v>
      </c>
      <c r="E34" s="1" t="s">
        <v>42</v>
      </c>
    </row>
    <row r="35" spans="1:5" ht="42" customHeight="1" x14ac:dyDescent="0.2">
      <c r="B35">
        <f xml:space="preserve"> B22 + B23 + B24 + B25 + B26 + B27 + B28 +B29 + B30 + B31 + B32 + B33 + B34 +B16</f>
        <v>1131000</v>
      </c>
      <c r="C35">
        <f xml:space="preserve"> C22 + C23 + C24 + C25 + C26 + C27 + C28 + C29 + C30 + C31 + C32 + C33 + C34 +C16</f>
        <v>1049000</v>
      </c>
    </row>
    <row r="36" spans="1:5" ht="42" customHeight="1" x14ac:dyDescent="0.25">
      <c r="C36">
        <f xml:space="preserve"> A34</f>
        <v>82000</v>
      </c>
      <c r="D36" s="6" t="s">
        <v>8</v>
      </c>
      <c r="E36" s="6" t="s">
        <v>9</v>
      </c>
    </row>
    <row r="37" spans="1:5" ht="15" x14ac:dyDescent="0.25">
      <c r="A37" s="6" t="s">
        <v>6</v>
      </c>
      <c r="D37" s="6" t="s">
        <v>5</v>
      </c>
    </row>
    <row r="39" spans="1:5" ht="41.25" customHeight="1" x14ac:dyDescent="0.3">
      <c r="A39" t="s">
        <v>10</v>
      </c>
      <c r="B39" s="2" t="s">
        <v>0</v>
      </c>
      <c r="C39" s="2"/>
    </row>
    <row r="40" spans="1:5" ht="42.7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.75" customHeight="1" x14ac:dyDescent="0.2">
      <c r="A41" s="8">
        <f>C36+B41-C41</f>
        <v>115000</v>
      </c>
      <c r="B41" s="8">
        <v>33000</v>
      </c>
      <c r="C41" s="8"/>
      <c r="D41" s="1" t="s">
        <v>45</v>
      </c>
      <c r="E41" s="1" t="s">
        <v>44</v>
      </c>
    </row>
    <row r="42" spans="1:5" ht="42.75" customHeight="1" x14ac:dyDescent="0.2">
      <c r="A42" s="8">
        <f xml:space="preserve"> A41 + B42-C42</f>
        <v>0</v>
      </c>
      <c r="B42" s="8"/>
      <c r="C42" s="8">
        <v>115000</v>
      </c>
      <c r="D42" s="1" t="s">
        <v>12</v>
      </c>
      <c r="E42" s="1" t="s">
        <v>44</v>
      </c>
    </row>
    <row r="43" spans="1:5" ht="42.75" customHeight="1" x14ac:dyDescent="0.2">
      <c r="A43" s="8">
        <f t="shared" ref="A43:A53" si="2" xml:space="preserve"> A42 + B43-C43</f>
        <v>180000</v>
      </c>
      <c r="B43" s="8">
        <v>180000</v>
      </c>
      <c r="C43" s="8"/>
      <c r="D43" s="1" t="s">
        <v>47</v>
      </c>
      <c r="E43" s="1" t="s">
        <v>46</v>
      </c>
    </row>
    <row r="44" spans="1:5" ht="42.75" customHeight="1" x14ac:dyDescent="0.2">
      <c r="A44" s="8">
        <f t="shared" si="2"/>
        <v>205000</v>
      </c>
      <c r="B44" s="8">
        <v>25000</v>
      </c>
      <c r="C44" s="8"/>
      <c r="D44" s="1" t="s">
        <v>48</v>
      </c>
      <c r="E44" s="1" t="s">
        <v>46</v>
      </c>
    </row>
    <row r="45" spans="1:5" ht="42" customHeight="1" x14ac:dyDescent="0.2">
      <c r="A45" s="8">
        <f t="shared" si="2"/>
        <v>230000</v>
      </c>
      <c r="B45" s="8">
        <v>25000</v>
      </c>
      <c r="C45" s="8"/>
      <c r="D45" s="1" t="s">
        <v>14</v>
      </c>
      <c r="E45" s="1" t="s">
        <v>49</v>
      </c>
    </row>
    <row r="46" spans="1:5" ht="42" customHeight="1" x14ac:dyDescent="0.2">
      <c r="A46" s="8">
        <f t="shared" si="2"/>
        <v>296000</v>
      </c>
      <c r="B46" s="8">
        <v>66000</v>
      </c>
      <c r="C46" s="8"/>
      <c r="D46" s="1" t="s">
        <v>51</v>
      </c>
      <c r="E46" s="1" t="s">
        <v>50</v>
      </c>
    </row>
    <row r="47" spans="1:5" ht="42" customHeight="1" x14ac:dyDescent="0.2">
      <c r="A47" s="8">
        <f t="shared" si="2"/>
        <v>351000</v>
      </c>
      <c r="B47" s="8">
        <v>55000</v>
      </c>
      <c r="C47" s="8"/>
      <c r="D47" s="1" t="s">
        <v>52</v>
      </c>
      <c r="E47" s="1" t="s">
        <v>50</v>
      </c>
    </row>
    <row r="48" spans="1:5" ht="36" customHeight="1" x14ac:dyDescent="0.2">
      <c r="A48" s="8">
        <f t="shared" si="2"/>
        <v>0</v>
      </c>
      <c r="B48" s="8"/>
      <c r="C48" s="8">
        <v>351000</v>
      </c>
      <c r="D48" s="1" t="s">
        <v>12</v>
      </c>
      <c r="E48" s="1" t="s">
        <v>50</v>
      </c>
    </row>
    <row r="49" spans="1:6" ht="42" customHeight="1" x14ac:dyDescent="0.2">
      <c r="A49" s="8">
        <f t="shared" si="2"/>
        <v>50000</v>
      </c>
      <c r="B49" s="8">
        <v>50000</v>
      </c>
      <c r="C49" s="8"/>
      <c r="D49" s="1" t="s">
        <v>54</v>
      </c>
      <c r="E49" s="1" t="s">
        <v>53</v>
      </c>
    </row>
    <row r="50" spans="1:6" ht="42" customHeight="1" x14ac:dyDescent="0.2">
      <c r="A50" s="8">
        <f t="shared" si="2"/>
        <v>0</v>
      </c>
      <c r="B50" s="8"/>
      <c r="C50" s="8">
        <v>50000</v>
      </c>
      <c r="D50" s="1" t="s">
        <v>55</v>
      </c>
      <c r="E50" s="1" t="s">
        <v>53</v>
      </c>
    </row>
    <row r="51" spans="1:6" ht="42.75" customHeight="1" x14ac:dyDescent="0.2">
      <c r="A51" s="8">
        <f t="shared" si="2"/>
        <v>59000</v>
      </c>
      <c r="B51" s="8">
        <v>59000</v>
      </c>
      <c r="C51" s="8"/>
      <c r="D51" s="1" t="s">
        <v>57</v>
      </c>
      <c r="E51" s="1" t="s">
        <v>56</v>
      </c>
    </row>
    <row r="52" spans="1:6" ht="42" customHeight="1" x14ac:dyDescent="0.2">
      <c r="A52" s="8">
        <f t="shared" si="2"/>
        <v>111000</v>
      </c>
      <c r="B52" s="8">
        <v>52000</v>
      </c>
      <c r="C52" s="8"/>
      <c r="D52" s="1" t="s">
        <v>58</v>
      </c>
      <c r="E52" s="7" t="s">
        <v>56</v>
      </c>
    </row>
    <row r="53" spans="1:6" ht="41.25" customHeight="1" x14ac:dyDescent="0.2">
      <c r="A53" s="8">
        <f t="shared" si="2"/>
        <v>0</v>
      </c>
      <c r="B53" s="8"/>
      <c r="C53" s="8">
        <v>111000</v>
      </c>
      <c r="D53" s="1" t="s">
        <v>12</v>
      </c>
      <c r="E53" s="1" t="s">
        <v>59</v>
      </c>
    </row>
    <row r="54" spans="1:6" ht="23.25" customHeight="1" x14ac:dyDescent="0.2">
      <c r="B54" s="9">
        <f xml:space="preserve"> B41 + B42 + B43 + B44 + B45 + B46 + B47 +B48 + B49 + B50 + B51 + B52 + B53 +B35</f>
        <v>1676000</v>
      </c>
      <c r="C54" s="9">
        <f xml:space="preserve"> C41 + C42 + C43 + C44 + C45 + C46 + C47 + C48 + C49 + C50 + C51 + C52 + C53 +C35</f>
        <v>1676000</v>
      </c>
    </row>
    <row r="55" spans="1:6" ht="18" customHeight="1" x14ac:dyDescent="0.25">
      <c r="B55" s="9"/>
      <c r="C55" s="9">
        <f xml:space="preserve"> A53</f>
        <v>0</v>
      </c>
      <c r="D55" s="6" t="s">
        <v>8</v>
      </c>
      <c r="E55" s="6" t="s">
        <v>9</v>
      </c>
    </row>
    <row r="56" spans="1:6" ht="30.75" customHeight="1" x14ac:dyDescent="0.25">
      <c r="A56" s="6" t="s">
        <v>6</v>
      </c>
      <c r="B56" s="9"/>
      <c r="C56" s="9"/>
      <c r="D56" s="6" t="s">
        <v>5</v>
      </c>
    </row>
    <row r="61" spans="1:6" ht="28.5" customHeight="1" x14ac:dyDescent="0.3">
      <c r="A61" t="s">
        <v>10</v>
      </c>
      <c r="B61" s="2" t="s">
        <v>0</v>
      </c>
      <c r="C61" s="2"/>
    </row>
    <row r="62" spans="1:6" ht="27.75" customHeight="1" x14ac:dyDescent="0.35">
      <c r="A62" s="3" t="s">
        <v>4</v>
      </c>
      <c r="B62" s="4" t="s">
        <v>3</v>
      </c>
      <c r="C62" s="3" t="s">
        <v>1</v>
      </c>
      <c r="D62" s="5" t="s">
        <v>2</v>
      </c>
      <c r="E62" s="5" t="s">
        <v>7</v>
      </c>
    </row>
    <row r="63" spans="1:6" ht="30" customHeight="1" x14ac:dyDescent="0.2">
      <c r="A63" s="8">
        <f>C55+B63-C63</f>
        <v>228000</v>
      </c>
      <c r="B63" s="8">
        <v>228000</v>
      </c>
      <c r="C63" s="8"/>
      <c r="D63" s="1" t="s">
        <v>61</v>
      </c>
      <c r="E63" s="1" t="s">
        <v>60</v>
      </c>
      <c r="F63" s="9"/>
    </row>
    <row r="64" spans="1:6" ht="28.5" customHeight="1" x14ac:dyDescent="0.2">
      <c r="A64" s="8">
        <f xml:space="preserve"> A63 + B64-C64</f>
        <v>363000</v>
      </c>
      <c r="B64" s="8">
        <v>135000</v>
      </c>
      <c r="C64" s="8"/>
      <c r="D64" s="1" t="s">
        <v>63</v>
      </c>
      <c r="E64" s="1" t="s">
        <v>62</v>
      </c>
    </row>
    <row r="65" spans="1:6" ht="26.25" customHeight="1" x14ac:dyDescent="0.2">
      <c r="A65" s="8">
        <f t="shared" ref="A65:A82" si="3" xml:space="preserve"> A64 + B65-C65</f>
        <v>13000</v>
      </c>
      <c r="B65" s="8"/>
      <c r="C65" s="8">
        <v>350000</v>
      </c>
      <c r="D65" s="1" t="s">
        <v>12</v>
      </c>
      <c r="E65" s="1" t="s">
        <v>62</v>
      </c>
    </row>
    <row r="66" spans="1:6" ht="28.5" customHeight="1" x14ac:dyDescent="0.2">
      <c r="A66" s="8">
        <f t="shared" si="3"/>
        <v>313000</v>
      </c>
      <c r="B66" s="8">
        <v>300000</v>
      </c>
      <c r="C66" s="8"/>
      <c r="D66" s="1" t="s">
        <v>19</v>
      </c>
      <c r="E66" s="1" t="s">
        <v>64</v>
      </c>
    </row>
    <row r="67" spans="1:6" ht="28.5" customHeight="1" x14ac:dyDescent="0.2">
      <c r="A67" s="8">
        <f t="shared" si="3"/>
        <v>358000</v>
      </c>
      <c r="B67" s="8">
        <v>45000</v>
      </c>
      <c r="C67" s="8"/>
      <c r="D67" s="1" t="s">
        <v>37</v>
      </c>
      <c r="E67" s="1" t="s">
        <v>64</v>
      </c>
    </row>
    <row r="68" spans="1:6" ht="29.25" customHeight="1" x14ac:dyDescent="0.2">
      <c r="A68" s="8">
        <f t="shared" si="3"/>
        <v>373000</v>
      </c>
      <c r="B68" s="8">
        <v>15000</v>
      </c>
      <c r="C68" s="8"/>
      <c r="D68" s="1" t="s">
        <v>66</v>
      </c>
      <c r="E68" s="1" t="s">
        <v>65</v>
      </c>
    </row>
    <row r="69" spans="1:6" ht="29.25" customHeight="1" x14ac:dyDescent="0.2">
      <c r="A69" s="8">
        <f t="shared" si="3"/>
        <v>393000</v>
      </c>
      <c r="B69" s="8">
        <v>20000</v>
      </c>
      <c r="C69" s="8"/>
      <c r="D69" s="1" t="s">
        <v>68</v>
      </c>
      <c r="E69" s="1" t="s">
        <v>67</v>
      </c>
    </row>
    <row r="70" spans="1:6" ht="30" customHeight="1" x14ac:dyDescent="0.2">
      <c r="A70" s="8">
        <f t="shared" si="3"/>
        <v>442000</v>
      </c>
      <c r="B70" s="8">
        <v>49000</v>
      </c>
      <c r="C70" s="8"/>
      <c r="D70" s="1" t="s">
        <v>70</v>
      </c>
      <c r="E70" s="1" t="s">
        <v>69</v>
      </c>
    </row>
    <row r="71" spans="1:6" ht="29.25" customHeight="1" x14ac:dyDescent="0.2">
      <c r="A71" s="8">
        <f t="shared" si="3"/>
        <v>487000</v>
      </c>
      <c r="B71" s="8">
        <v>45000</v>
      </c>
      <c r="C71" s="8"/>
      <c r="D71" s="1" t="s">
        <v>72</v>
      </c>
      <c r="E71" s="1" t="s">
        <v>71</v>
      </c>
    </row>
    <row r="72" spans="1:6" ht="28.5" customHeight="1" x14ac:dyDescent="0.2">
      <c r="A72" s="8">
        <f t="shared" si="3"/>
        <v>522000</v>
      </c>
      <c r="B72" s="8">
        <v>35000</v>
      </c>
      <c r="C72" s="8"/>
      <c r="D72" s="1" t="s">
        <v>74</v>
      </c>
      <c r="E72" s="1" t="s">
        <v>73</v>
      </c>
    </row>
    <row r="73" spans="1:6" ht="29.25" customHeight="1" x14ac:dyDescent="0.2">
      <c r="A73" s="8">
        <f t="shared" si="3"/>
        <v>266000</v>
      </c>
      <c r="B73" s="8"/>
      <c r="C73" s="8">
        <v>256000</v>
      </c>
      <c r="D73" s="1" t="s">
        <v>75</v>
      </c>
      <c r="E73" s="1" t="s">
        <v>73</v>
      </c>
    </row>
    <row r="74" spans="1:6" ht="28.5" customHeight="1" x14ac:dyDescent="0.2">
      <c r="A74" s="8">
        <f t="shared" si="3"/>
        <v>296000</v>
      </c>
      <c r="B74" s="8">
        <v>30000</v>
      </c>
      <c r="C74" s="8"/>
      <c r="D74" s="1" t="s">
        <v>77</v>
      </c>
      <c r="E74" s="7" t="s">
        <v>76</v>
      </c>
    </row>
    <row r="75" spans="1:6" ht="28.5" customHeight="1" x14ac:dyDescent="0.2">
      <c r="A75" s="8">
        <f t="shared" si="3"/>
        <v>325000</v>
      </c>
      <c r="B75" s="8">
        <v>29000</v>
      </c>
      <c r="C75" s="8"/>
      <c r="D75" s="1" t="s">
        <v>79</v>
      </c>
      <c r="E75" s="1" t="s">
        <v>78</v>
      </c>
    </row>
    <row r="76" spans="1:6" ht="29.25" customHeight="1" x14ac:dyDescent="0.2">
      <c r="A76" s="8">
        <f t="shared" si="3"/>
        <v>0</v>
      </c>
      <c r="B76" s="8"/>
      <c r="C76" s="8">
        <v>325000</v>
      </c>
      <c r="D76" s="1" t="s">
        <v>12</v>
      </c>
      <c r="E76" s="1" t="s">
        <v>78</v>
      </c>
      <c r="F76" s="9"/>
    </row>
    <row r="77" spans="1:6" ht="29.25" customHeight="1" x14ac:dyDescent="0.35">
      <c r="A77" s="8">
        <f t="shared" si="3"/>
        <v>20000</v>
      </c>
      <c r="B77" s="13">
        <v>20000</v>
      </c>
      <c r="C77" s="10"/>
      <c r="D77" s="14" t="s">
        <v>82</v>
      </c>
      <c r="E77" s="14" t="s">
        <v>81</v>
      </c>
      <c r="F77" s="9"/>
    </row>
    <row r="78" spans="1:6" ht="29.25" customHeight="1" x14ac:dyDescent="0.25">
      <c r="A78" s="8">
        <f t="shared" si="3"/>
        <v>80000</v>
      </c>
      <c r="B78" s="8">
        <v>60000</v>
      </c>
      <c r="C78" s="8"/>
      <c r="D78" s="11" t="s">
        <v>52</v>
      </c>
      <c r="E78" s="1" t="s">
        <v>83</v>
      </c>
      <c r="F78" s="9"/>
    </row>
    <row r="79" spans="1:6" ht="29.25" customHeight="1" x14ac:dyDescent="0.2">
      <c r="A79" s="8">
        <f t="shared" si="3"/>
        <v>130000</v>
      </c>
      <c r="B79" s="1">
        <v>50000</v>
      </c>
      <c r="C79" s="1"/>
      <c r="D79" s="1" t="s">
        <v>85</v>
      </c>
      <c r="E79" s="1" t="s">
        <v>84</v>
      </c>
      <c r="F79" s="9"/>
    </row>
    <row r="80" spans="1:6" ht="28.5" customHeight="1" x14ac:dyDescent="0.2">
      <c r="A80" s="8">
        <f t="shared" si="3"/>
        <v>222000</v>
      </c>
      <c r="B80" s="1">
        <v>92000</v>
      </c>
      <c r="C80" s="1"/>
      <c r="D80" s="1" t="s">
        <v>87</v>
      </c>
      <c r="E80" s="1" t="s">
        <v>86</v>
      </c>
      <c r="F80" s="9"/>
    </row>
    <row r="81" spans="1:6" ht="27.75" customHeight="1" x14ac:dyDescent="0.2">
      <c r="A81" s="8">
        <f t="shared" si="3"/>
        <v>242000</v>
      </c>
      <c r="B81" s="1">
        <v>20000</v>
      </c>
      <c r="C81" s="1"/>
      <c r="D81" s="1" t="s">
        <v>89</v>
      </c>
      <c r="E81" s="1" t="s">
        <v>88</v>
      </c>
      <c r="F81" s="9"/>
    </row>
    <row r="82" spans="1:6" ht="28.5" customHeight="1" x14ac:dyDescent="0.2">
      <c r="A82" s="8">
        <f t="shared" si="3"/>
        <v>72000</v>
      </c>
      <c r="B82" s="1"/>
      <c r="C82" s="1">
        <v>170000</v>
      </c>
      <c r="D82" s="1" t="s">
        <v>91</v>
      </c>
      <c r="E82" s="1" t="s">
        <v>90</v>
      </c>
      <c r="F82" s="9"/>
    </row>
    <row r="83" spans="1:6" ht="30" customHeight="1" x14ac:dyDescent="0.2">
      <c r="B83" s="9">
        <f>SUM(B63:B82)+B54</f>
        <v>2849000</v>
      </c>
      <c r="C83" s="9">
        <f>SUM(C63:C82)+C54</f>
        <v>2777000</v>
      </c>
    </row>
    <row r="84" spans="1:6" ht="29.25" customHeight="1" x14ac:dyDescent="0.2"/>
    <row r="85" spans="1:6" ht="27.75" customHeight="1" x14ac:dyDescent="0.25">
      <c r="B85" s="12">
        <f>A82</f>
        <v>72000</v>
      </c>
      <c r="C85" s="17" t="s">
        <v>80</v>
      </c>
      <c r="D85" s="17"/>
    </row>
    <row r="86" spans="1:6" ht="28.5" customHeight="1" x14ac:dyDescent="0.2"/>
    <row r="88" spans="1:6" ht="27.75" customHeight="1" x14ac:dyDescent="0.3">
      <c r="A88" t="s">
        <v>10</v>
      </c>
      <c r="B88" s="2" t="s">
        <v>0</v>
      </c>
      <c r="C88" s="2"/>
    </row>
    <row r="89" spans="1:6" ht="29.25" customHeight="1" x14ac:dyDescent="0.35">
      <c r="A89" s="3" t="s">
        <v>4</v>
      </c>
      <c r="B89" s="4" t="s">
        <v>3</v>
      </c>
      <c r="C89" s="3" t="s">
        <v>1</v>
      </c>
      <c r="D89" s="5" t="s">
        <v>2</v>
      </c>
      <c r="E89" s="5" t="s">
        <v>7</v>
      </c>
    </row>
    <row r="90" spans="1:6" ht="26.25" customHeight="1" x14ac:dyDescent="0.2">
      <c r="A90" s="8">
        <f>B85+B90-C90</f>
        <v>97000</v>
      </c>
      <c r="B90" s="8">
        <v>25000</v>
      </c>
      <c r="C90" s="8"/>
      <c r="D90" s="1" t="s">
        <v>93</v>
      </c>
      <c r="E90" s="1" t="s">
        <v>92</v>
      </c>
      <c r="F90" s="9"/>
    </row>
    <row r="91" spans="1:6" ht="27.75" customHeight="1" x14ac:dyDescent="0.2">
      <c r="A91" s="8">
        <f>A90+B91-C91</f>
        <v>149000</v>
      </c>
      <c r="B91" s="8">
        <v>52000</v>
      </c>
      <c r="C91" s="8"/>
      <c r="D91" s="1" t="s">
        <v>95</v>
      </c>
      <c r="E91" s="1" t="s">
        <v>94</v>
      </c>
    </row>
    <row r="92" spans="1:6" ht="29.25" customHeight="1" x14ac:dyDescent="0.2">
      <c r="A92" s="8">
        <f t="shared" ref="A92:A109" si="4">A91+B92-C92</f>
        <v>164000</v>
      </c>
      <c r="B92" s="8">
        <v>15000</v>
      </c>
      <c r="C92" s="8"/>
      <c r="D92" s="1" t="s">
        <v>97</v>
      </c>
      <c r="E92" s="1" t="s">
        <v>96</v>
      </c>
    </row>
    <row r="93" spans="1:6" ht="27" customHeight="1" x14ac:dyDescent="0.2">
      <c r="A93" s="8">
        <f t="shared" si="4"/>
        <v>326000</v>
      </c>
      <c r="B93" s="8">
        <v>162000</v>
      </c>
      <c r="C93" s="8"/>
      <c r="D93" s="1" t="s">
        <v>99</v>
      </c>
      <c r="E93" s="1" t="s">
        <v>98</v>
      </c>
    </row>
    <row r="94" spans="1:6" ht="27.75" customHeight="1" x14ac:dyDescent="0.2">
      <c r="A94" s="8">
        <f t="shared" si="4"/>
        <v>386000</v>
      </c>
      <c r="B94" s="8">
        <v>60000</v>
      </c>
      <c r="C94" s="8"/>
      <c r="D94" s="1" t="s">
        <v>100</v>
      </c>
      <c r="E94" s="1" t="s">
        <v>98</v>
      </c>
    </row>
    <row r="95" spans="1:6" ht="30" customHeight="1" x14ac:dyDescent="0.2">
      <c r="A95" s="8">
        <f t="shared" si="4"/>
        <v>-62000</v>
      </c>
      <c r="B95" s="8"/>
      <c r="C95" s="8">
        <v>448000</v>
      </c>
      <c r="D95" s="1" t="s">
        <v>101</v>
      </c>
      <c r="E95" s="1" t="s">
        <v>98</v>
      </c>
    </row>
    <row r="96" spans="1:6" ht="28.5" customHeight="1" x14ac:dyDescent="0.2">
      <c r="A96" s="8">
        <f t="shared" si="4"/>
        <v>-47000</v>
      </c>
      <c r="B96" s="8">
        <v>15000</v>
      </c>
      <c r="C96" s="8"/>
      <c r="D96" s="1" t="s">
        <v>103</v>
      </c>
      <c r="E96" s="1" t="s">
        <v>102</v>
      </c>
    </row>
    <row r="97" spans="1:6" ht="28.5" customHeight="1" x14ac:dyDescent="0.2">
      <c r="A97" s="8">
        <f t="shared" si="4"/>
        <v>16000</v>
      </c>
      <c r="B97" s="8">
        <v>63000</v>
      </c>
      <c r="C97" s="8"/>
      <c r="D97" s="1" t="s">
        <v>105</v>
      </c>
      <c r="E97" s="1" t="s">
        <v>104</v>
      </c>
    </row>
    <row r="98" spans="1:6" ht="27.75" customHeight="1" x14ac:dyDescent="0.2">
      <c r="A98" s="8">
        <f t="shared" si="4"/>
        <v>416000</v>
      </c>
      <c r="B98" s="8">
        <v>400000</v>
      </c>
      <c r="C98" s="8"/>
      <c r="D98" s="1" t="s">
        <v>107</v>
      </c>
      <c r="E98" s="1" t="s">
        <v>106</v>
      </c>
    </row>
    <row r="99" spans="1:6" ht="27" customHeight="1" x14ac:dyDescent="0.2">
      <c r="A99" s="8">
        <f t="shared" si="4"/>
        <v>0</v>
      </c>
      <c r="B99" s="8"/>
      <c r="C99" s="8">
        <v>416000</v>
      </c>
      <c r="D99" s="1" t="s">
        <v>12</v>
      </c>
      <c r="E99" s="1" t="s">
        <v>108</v>
      </c>
    </row>
    <row r="100" spans="1:6" ht="29.25" customHeight="1" x14ac:dyDescent="0.2">
      <c r="A100" s="8">
        <f>A99+B100-C100</f>
        <v>58000</v>
      </c>
      <c r="B100" s="8">
        <v>58000</v>
      </c>
      <c r="C100" s="8"/>
      <c r="D100" s="1" t="s">
        <v>110</v>
      </c>
      <c r="E100" s="1" t="s">
        <v>109</v>
      </c>
    </row>
    <row r="101" spans="1:6" ht="27" customHeight="1" x14ac:dyDescent="0.2">
      <c r="A101" s="8">
        <f t="shared" si="4"/>
        <v>196000</v>
      </c>
      <c r="B101" s="8">
        <v>138000</v>
      </c>
      <c r="C101" s="8"/>
      <c r="D101" s="1" t="s">
        <v>105</v>
      </c>
      <c r="E101" s="7" t="s">
        <v>111</v>
      </c>
    </row>
    <row r="102" spans="1:6" ht="27.75" customHeight="1" x14ac:dyDescent="0.2">
      <c r="A102" s="8">
        <f>A101+B102-C102</f>
        <v>0</v>
      </c>
      <c r="B102" s="8"/>
      <c r="C102" s="8">
        <v>196000</v>
      </c>
      <c r="D102" s="1" t="s">
        <v>12</v>
      </c>
      <c r="E102" s="1" t="s">
        <v>112</v>
      </c>
    </row>
    <row r="103" spans="1:6" ht="29.25" customHeight="1" x14ac:dyDescent="0.2">
      <c r="A103" s="8">
        <f t="shared" si="4"/>
        <v>103000</v>
      </c>
      <c r="B103" s="8">
        <v>103000</v>
      </c>
      <c r="C103" s="8"/>
      <c r="D103" s="1" t="s">
        <v>105</v>
      </c>
      <c r="E103" s="1" t="s">
        <v>113</v>
      </c>
      <c r="F103" s="9"/>
    </row>
    <row r="104" spans="1:6" ht="27.75" customHeight="1" x14ac:dyDescent="0.35">
      <c r="A104" s="8">
        <f t="shared" si="4"/>
        <v>218000</v>
      </c>
      <c r="B104" s="16">
        <v>115000</v>
      </c>
      <c r="C104" s="10"/>
      <c r="D104" s="14" t="s">
        <v>115</v>
      </c>
      <c r="E104" s="14" t="s">
        <v>114</v>
      </c>
      <c r="F104" s="9"/>
    </row>
    <row r="105" spans="1:6" ht="29.25" customHeight="1" x14ac:dyDescent="0.2">
      <c r="A105" s="8">
        <f t="shared" si="4"/>
        <v>0</v>
      </c>
      <c r="B105" s="8"/>
      <c r="C105" s="8">
        <v>218000</v>
      </c>
      <c r="D105" s="14" t="s">
        <v>12</v>
      </c>
      <c r="E105" s="1" t="s">
        <v>116</v>
      </c>
      <c r="F105" s="9"/>
    </row>
    <row r="106" spans="1:6" ht="29.25" customHeight="1" x14ac:dyDescent="0.2">
      <c r="A106" s="8">
        <f t="shared" si="4"/>
        <v>25000</v>
      </c>
      <c r="B106" s="1">
        <v>25000</v>
      </c>
      <c r="C106" s="1"/>
      <c r="D106" s="1" t="s">
        <v>21</v>
      </c>
      <c r="E106" s="1" t="s">
        <v>117</v>
      </c>
      <c r="F106" s="9"/>
    </row>
    <row r="107" spans="1:6" ht="30" customHeight="1" x14ac:dyDescent="0.2">
      <c r="A107" s="8">
        <f t="shared" si="4"/>
        <v>49000</v>
      </c>
      <c r="B107" s="1">
        <v>24000</v>
      </c>
      <c r="C107" s="1"/>
      <c r="D107" s="1" t="s">
        <v>118</v>
      </c>
      <c r="E107" s="1" t="s">
        <v>119</v>
      </c>
      <c r="F107" s="9"/>
    </row>
    <row r="108" spans="1:6" ht="29.25" customHeight="1" x14ac:dyDescent="0.2">
      <c r="A108" s="8">
        <f t="shared" si="4"/>
        <v>0</v>
      </c>
      <c r="B108" s="1"/>
      <c r="C108" s="1">
        <v>49000</v>
      </c>
      <c r="D108" s="1" t="s">
        <v>12</v>
      </c>
      <c r="E108" s="1" t="s">
        <v>119</v>
      </c>
      <c r="F108" s="9"/>
    </row>
    <row r="109" spans="1:6" ht="28.5" customHeight="1" x14ac:dyDescent="0.2">
      <c r="A109" s="8">
        <f t="shared" si="4"/>
        <v>160000</v>
      </c>
      <c r="B109" s="1">
        <v>160000</v>
      </c>
      <c r="C109" s="1"/>
      <c r="D109" s="1" t="s">
        <v>121</v>
      </c>
      <c r="E109" s="1" t="s">
        <v>120</v>
      </c>
      <c r="F109" s="9"/>
    </row>
    <row r="110" spans="1:6" ht="29.25" customHeight="1" x14ac:dyDescent="0.2">
      <c r="B110" s="9">
        <f>SUM(B90:B109)+B83</f>
        <v>4264000</v>
      </c>
      <c r="C110" s="9">
        <f>SUM(C90:C109)+C83</f>
        <v>4104000</v>
      </c>
    </row>
    <row r="111" spans="1:6" ht="27" customHeight="1" x14ac:dyDescent="0.2"/>
    <row r="112" spans="1:6" ht="27.75" customHeight="1" x14ac:dyDescent="0.35">
      <c r="B112" s="15">
        <f>A109</f>
        <v>160000</v>
      </c>
      <c r="C112" s="17" t="s">
        <v>80</v>
      </c>
      <c r="D112" s="17"/>
    </row>
    <row r="113" spans="1:5" ht="44.25" customHeight="1" x14ac:dyDescent="0.2"/>
    <row r="114" spans="1:5" ht="27.75" customHeight="1" x14ac:dyDescent="0.3">
      <c r="A114" t="s">
        <v>10</v>
      </c>
      <c r="B114" s="2" t="s">
        <v>0</v>
      </c>
      <c r="C114" s="2"/>
    </row>
    <row r="115" spans="1:5" ht="27.75" customHeight="1" x14ac:dyDescent="0.35">
      <c r="A115" s="3" t="s">
        <v>4</v>
      </c>
      <c r="B115" s="4" t="s">
        <v>3</v>
      </c>
      <c r="C115" s="3" t="s">
        <v>1</v>
      </c>
      <c r="D115" s="5" t="s">
        <v>2</v>
      </c>
      <c r="E115" s="5" t="s">
        <v>7</v>
      </c>
    </row>
    <row r="116" spans="1:5" ht="27.75" customHeight="1" x14ac:dyDescent="0.2">
      <c r="A116" s="8">
        <f>B112+B116-C116</f>
        <v>446000</v>
      </c>
      <c r="B116" s="8">
        <v>286000</v>
      </c>
      <c r="C116" s="8"/>
      <c r="D116" s="1" t="s">
        <v>123</v>
      </c>
      <c r="E116" s="1" t="s">
        <v>122</v>
      </c>
    </row>
    <row r="117" spans="1:5" ht="27.75" customHeight="1" x14ac:dyDescent="0.2">
      <c r="A117" s="8">
        <f>A116+B117-C117</f>
        <v>466000</v>
      </c>
      <c r="B117" s="8">
        <v>20000</v>
      </c>
      <c r="C117" s="8"/>
      <c r="D117" s="1" t="s">
        <v>125</v>
      </c>
      <c r="E117" s="1" t="s">
        <v>124</v>
      </c>
    </row>
    <row r="118" spans="1:5" ht="27.75" customHeight="1" x14ac:dyDescent="0.2">
      <c r="A118" s="8">
        <f t="shared" ref="A118:A125" si="5">A117+B118-C118</f>
        <v>520000</v>
      </c>
      <c r="B118" s="8">
        <v>54000</v>
      </c>
      <c r="C118" s="8"/>
      <c r="D118" s="1" t="s">
        <v>105</v>
      </c>
      <c r="E118" s="1" t="s">
        <v>126</v>
      </c>
    </row>
    <row r="119" spans="1:5" ht="27.75" customHeight="1" x14ac:dyDescent="0.2">
      <c r="A119" s="8">
        <f t="shared" si="5"/>
        <v>568000</v>
      </c>
      <c r="B119" s="8">
        <v>48000</v>
      </c>
      <c r="C119" s="8"/>
      <c r="D119" s="1" t="s">
        <v>128</v>
      </c>
      <c r="E119" s="1" t="s">
        <v>127</v>
      </c>
    </row>
    <row r="120" spans="1:5" ht="27.75" customHeight="1" x14ac:dyDescent="0.2">
      <c r="A120" s="8">
        <f t="shared" si="5"/>
        <v>678000</v>
      </c>
      <c r="B120" s="8">
        <v>110000</v>
      </c>
      <c r="C120" s="8"/>
      <c r="D120" s="1" t="s">
        <v>129</v>
      </c>
      <c r="E120" s="1" t="s">
        <v>127</v>
      </c>
    </row>
    <row r="121" spans="1:5" ht="27.75" customHeight="1" x14ac:dyDescent="0.2">
      <c r="A121" s="8">
        <f t="shared" si="5"/>
        <v>-222000</v>
      </c>
      <c r="B121" s="8"/>
      <c r="C121" s="8">
        <v>900000</v>
      </c>
      <c r="D121" s="1" t="s">
        <v>12</v>
      </c>
      <c r="E121" s="1" t="s">
        <v>127</v>
      </c>
    </row>
    <row r="122" spans="1:5" ht="27.75" customHeight="1" x14ac:dyDescent="0.2">
      <c r="A122" s="8">
        <f t="shared" si="5"/>
        <v>0</v>
      </c>
      <c r="B122" s="8">
        <v>222000</v>
      </c>
      <c r="C122" s="8"/>
      <c r="D122" s="1" t="s">
        <v>130</v>
      </c>
      <c r="E122" s="1" t="s">
        <v>127</v>
      </c>
    </row>
    <row r="123" spans="1:5" ht="27.75" customHeight="1" x14ac:dyDescent="0.2">
      <c r="A123" s="8">
        <f t="shared" si="5"/>
        <v>27000</v>
      </c>
      <c r="B123" s="8">
        <v>27000</v>
      </c>
      <c r="C123" s="8"/>
      <c r="D123" s="1" t="s">
        <v>128</v>
      </c>
      <c r="E123" s="1" t="s">
        <v>131</v>
      </c>
    </row>
    <row r="124" spans="1:5" ht="27.75" customHeight="1" x14ac:dyDescent="0.2">
      <c r="A124" s="8">
        <f t="shared" si="5"/>
        <v>97000</v>
      </c>
      <c r="B124" s="8">
        <v>70000</v>
      </c>
      <c r="C124" s="8"/>
      <c r="D124" s="1" t="s">
        <v>133</v>
      </c>
      <c r="E124" s="1" t="s">
        <v>132</v>
      </c>
    </row>
    <row r="125" spans="1:5" ht="27.75" customHeight="1" x14ac:dyDescent="0.2">
      <c r="A125" s="8">
        <f t="shared" si="5"/>
        <v>127000</v>
      </c>
      <c r="B125" s="8">
        <v>30000</v>
      </c>
      <c r="C125" s="8"/>
      <c r="D125" s="1" t="s">
        <v>135</v>
      </c>
      <c r="E125" s="1" t="s">
        <v>134</v>
      </c>
    </row>
    <row r="126" spans="1:5" ht="27.75" customHeight="1" x14ac:dyDescent="0.2">
      <c r="A126" s="8">
        <f>A125+B126-C126</f>
        <v>191000</v>
      </c>
      <c r="B126" s="8">
        <v>64000</v>
      </c>
      <c r="C126" s="8"/>
      <c r="D126" s="1" t="s">
        <v>135</v>
      </c>
      <c r="E126" s="1" t="s">
        <v>136</v>
      </c>
    </row>
    <row r="127" spans="1:5" ht="27.75" customHeight="1" x14ac:dyDescent="0.2">
      <c r="A127" s="8">
        <f t="shared" ref="A127" si="6">A126+B127-C127</f>
        <v>231000</v>
      </c>
      <c r="B127" s="8">
        <v>40000</v>
      </c>
      <c r="C127" s="8"/>
      <c r="D127" s="1" t="s">
        <v>138</v>
      </c>
      <c r="E127" s="7" t="s">
        <v>137</v>
      </c>
    </row>
    <row r="128" spans="1:5" ht="27.75" customHeight="1" x14ac:dyDescent="0.2">
      <c r="A128" s="8">
        <f>A127+B128-C128</f>
        <v>351000</v>
      </c>
      <c r="B128" s="8">
        <v>120000</v>
      </c>
      <c r="C128" s="8"/>
      <c r="D128" s="1" t="s">
        <v>129</v>
      </c>
      <c r="E128" s="1" t="s">
        <v>139</v>
      </c>
    </row>
    <row r="129" spans="1:5" ht="27.75" customHeight="1" x14ac:dyDescent="0.2">
      <c r="A129" s="8">
        <f t="shared" ref="A129:A135" si="7">A128+B129-C129</f>
        <v>251000</v>
      </c>
      <c r="B129" s="8"/>
      <c r="C129" s="8">
        <v>100000</v>
      </c>
      <c r="D129" s="1" t="s">
        <v>12</v>
      </c>
      <c r="E129" s="1" t="s">
        <v>140</v>
      </c>
    </row>
    <row r="130" spans="1:5" ht="27.75" customHeight="1" x14ac:dyDescent="0.35">
      <c r="A130" s="8">
        <f t="shared" si="7"/>
        <v>367000</v>
      </c>
      <c r="B130" s="16">
        <v>116000</v>
      </c>
      <c r="C130" s="10"/>
      <c r="D130" s="14" t="s">
        <v>135</v>
      </c>
      <c r="E130" s="14" t="s">
        <v>141</v>
      </c>
    </row>
    <row r="131" spans="1:5" ht="27.75" customHeight="1" x14ac:dyDescent="0.2">
      <c r="A131" s="8">
        <f t="shared" si="7"/>
        <v>0</v>
      </c>
      <c r="B131" s="8"/>
      <c r="C131" s="8">
        <v>367000</v>
      </c>
      <c r="D131" s="14" t="s">
        <v>12</v>
      </c>
      <c r="E131" s="1" t="s">
        <v>142</v>
      </c>
    </row>
    <row r="132" spans="1:5" ht="27.75" customHeight="1" x14ac:dyDescent="0.2">
      <c r="A132" s="8">
        <f t="shared" si="7"/>
        <v>250000</v>
      </c>
      <c r="B132" s="1">
        <v>250000</v>
      </c>
      <c r="C132" s="1"/>
      <c r="D132" s="1" t="s">
        <v>144</v>
      </c>
      <c r="E132" s="1" t="s">
        <v>143</v>
      </c>
    </row>
    <row r="133" spans="1:5" ht="27.75" customHeight="1" x14ac:dyDescent="0.2">
      <c r="A133" s="8">
        <f t="shared" si="7"/>
        <v>-150000</v>
      </c>
      <c r="B133" s="1"/>
      <c r="C133" s="1">
        <v>400000</v>
      </c>
      <c r="D133" s="1" t="s">
        <v>12</v>
      </c>
      <c r="E133" s="1" t="s">
        <v>145</v>
      </c>
    </row>
    <row r="134" spans="1:5" ht="27.75" customHeight="1" x14ac:dyDescent="0.2">
      <c r="A134" s="8">
        <f t="shared" si="7"/>
        <v>-110000</v>
      </c>
      <c r="B134" s="1">
        <v>40000</v>
      </c>
      <c r="C134" s="1"/>
      <c r="D134" s="1" t="s">
        <v>138</v>
      </c>
      <c r="E134" s="1" t="s">
        <v>146</v>
      </c>
    </row>
    <row r="135" spans="1:5" ht="27.75" customHeight="1" x14ac:dyDescent="0.2">
      <c r="A135" s="8">
        <f t="shared" si="7"/>
        <v>-5000</v>
      </c>
      <c r="B135" s="1">
        <v>105000</v>
      </c>
      <c r="C135" s="1"/>
      <c r="D135" s="1" t="s">
        <v>135</v>
      </c>
      <c r="E135" s="1" t="s">
        <v>147</v>
      </c>
    </row>
    <row r="136" spans="1:5" ht="27.75" customHeight="1" x14ac:dyDescent="0.2">
      <c r="B136" s="9">
        <f>SUM(B116:B135)+B110</f>
        <v>5866000</v>
      </c>
      <c r="C136" s="9">
        <f>SUM(C116:C135)+C110</f>
        <v>5871000</v>
      </c>
    </row>
    <row r="137" spans="1:5" ht="27.75" customHeight="1" x14ac:dyDescent="0.2"/>
    <row r="138" spans="1:5" ht="27.75" customHeight="1" x14ac:dyDescent="0.35">
      <c r="B138" s="15">
        <f>A135</f>
        <v>-5000</v>
      </c>
      <c r="C138" s="17" t="s">
        <v>80</v>
      </c>
      <c r="D138" s="17"/>
    </row>
    <row r="139" spans="1:5" ht="27.75" customHeight="1" x14ac:dyDescent="0.2"/>
    <row r="140" spans="1:5" ht="27.75" customHeight="1" x14ac:dyDescent="0.2"/>
    <row r="141" spans="1:5" ht="27.75" customHeight="1" x14ac:dyDescent="0.3">
      <c r="A141" t="s">
        <v>10</v>
      </c>
      <c r="B141" s="2" t="s">
        <v>0</v>
      </c>
      <c r="C141" s="2"/>
    </row>
    <row r="142" spans="1:5" ht="27.75" customHeight="1" x14ac:dyDescent="0.35">
      <c r="A142" s="3" t="s">
        <v>4</v>
      </c>
      <c r="B142" s="4" t="s">
        <v>3</v>
      </c>
      <c r="C142" s="3" t="s">
        <v>1</v>
      </c>
      <c r="D142" s="5" t="s">
        <v>2</v>
      </c>
      <c r="E142" s="5" t="s">
        <v>7</v>
      </c>
    </row>
    <row r="143" spans="1:5" ht="27.75" customHeight="1" x14ac:dyDescent="0.2">
      <c r="A143" s="8">
        <f>B138+B143-C143</f>
        <v>90000</v>
      </c>
      <c r="B143" s="8">
        <v>95000</v>
      </c>
      <c r="C143" s="8"/>
      <c r="D143" s="1" t="s">
        <v>149</v>
      </c>
      <c r="E143" s="1" t="s">
        <v>148</v>
      </c>
    </row>
    <row r="144" spans="1:5" ht="27.75" customHeight="1" x14ac:dyDescent="0.2">
      <c r="A144" s="8">
        <f>A143+B144-C144</f>
        <v>126000</v>
      </c>
      <c r="B144" s="8">
        <v>36000</v>
      </c>
      <c r="C144" s="8"/>
      <c r="D144" s="1" t="s">
        <v>151</v>
      </c>
      <c r="E144" s="1" t="s">
        <v>150</v>
      </c>
    </row>
    <row r="145" spans="1:5" ht="27.75" customHeight="1" x14ac:dyDescent="0.2">
      <c r="A145" s="8">
        <f t="shared" ref="A145:A152" si="8">A144+B145-C145</f>
        <v>343000</v>
      </c>
      <c r="B145" s="8">
        <v>217000</v>
      </c>
      <c r="C145" s="8"/>
      <c r="D145" s="1" t="s">
        <v>11</v>
      </c>
      <c r="E145" s="1" t="s">
        <v>148</v>
      </c>
    </row>
    <row r="146" spans="1:5" ht="27.75" customHeight="1" x14ac:dyDescent="0.2">
      <c r="A146" s="8">
        <f t="shared" si="8"/>
        <v>390000</v>
      </c>
      <c r="B146" s="8">
        <v>47000</v>
      </c>
      <c r="C146" s="8"/>
      <c r="D146" s="1" t="s">
        <v>153</v>
      </c>
      <c r="E146" s="1" t="s">
        <v>152</v>
      </c>
    </row>
    <row r="147" spans="1:5" ht="27.75" customHeight="1" x14ac:dyDescent="0.2">
      <c r="A147" s="8">
        <f t="shared" si="8"/>
        <v>0</v>
      </c>
      <c r="B147" s="8"/>
      <c r="C147" s="8">
        <v>390000</v>
      </c>
      <c r="D147" s="1" t="s">
        <v>12</v>
      </c>
      <c r="E147" s="1" t="s">
        <v>154</v>
      </c>
    </row>
    <row r="148" spans="1:5" ht="27.75" customHeight="1" x14ac:dyDescent="0.2">
      <c r="A148" s="8">
        <f t="shared" si="8"/>
        <v>55000</v>
      </c>
      <c r="B148" s="8">
        <v>55000</v>
      </c>
      <c r="C148" s="8"/>
      <c r="D148" s="1" t="s">
        <v>156</v>
      </c>
      <c r="E148" s="1" t="s">
        <v>155</v>
      </c>
    </row>
    <row r="149" spans="1:5" ht="27.75" customHeight="1" x14ac:dyDescent="0.2">
      <c r="A149" s="8">
        <f t="shared" si="8"/>
        <v>316000</v>
      </c>
      <c r="B149" s="8">
        <v>261000</v>
      </c>
      <c r="C149" s="8"/>
      <c r="D149" s="1" t="s">
        <v>158</v>
      </c>
      <c r="E149" s="1" t="s">
        <v>157</v>
      </c>
    </row>
    <row r="150" spans="1:5" ht="27.75" customHeight="1" x14ac:dyDescent="0.2">
      <c r="A150" s="8">
        <f t="shared" si="8"/>
        <v>-150000</v>
      </c>
      <c r="B150" s="8"/>
      <c r="C150" s="8">
        <v>466000</v>
      </c>
      <c r="D150" s="1" t="s">
        <v>12</v>
      </c>
      <c r="E150" s="1" t="s">
        <v>157</v>
      </c>
    </row>
    <row r="151" spans="1:5" ht="27.75" customHeight="1" x14ac:dyDescent="0.2">
      <c r="A151" s="8">
        <f t="shared" si="8"/>
        <v>0</v>
      </c>
      <c r="B151" s="8">
        <v>150000</v>
      </c>
      <c r="C151" s="8"/>
      <c r="D151" s="1" t="s">
        <v>159</v>
      </c>
      <c r="E151" s="1"/>
    </row>
    <row r="152" spans="1:5" ht="27.75" customHeight="1" x14ac:dyDescent="0.2">
      <c r="A152" s="8">
        <f t="shared" si="8"/>
        <v>55000</v>
      </c>
      <c r="B152" s="8">
        <v>55000</v>
      </c>
      <c r="C152" s="8"/>
      <c r="D152" s="1" t="s">
        <v>161</v>
      </c>
      <c r="E152" s="1" t="s">
        <v>160</v>
      </c>
    </row>
    <row r="153" spans="1:5" ht="27.75" customHeight="1" x14ac:dyDescent="0.2">
      <c r="A153" s="8">
        <f>A152+B153-C153</f>
        <v>305000</v>
      </c>
      <c r="B153" s="8">
        <v>250000</v>
      </c>
      <c r="C153" s="8"/>
      <c r="D153" s="1" t="s">
        <v>163</v>
      </c>
      <c r="E153" s="1" t="s">
        <v>162</v>
      </c>
    </row>
    <row r="154" spans="1:5" ht="27.75" customHeight="1" x14ac:dyDescent="0.2">
      <c r="A154" s="8">
        <f t="shared" ref="A154" si="9">A153+B154-C154</f>
        <v>460000</v>
      </c>
      <c r="B154" s="8">
        <v>155000</v>
      </c>
      <c r="C154" s="8"/>
      <c r="D154" s="1" t="s">
        <v>164</v>
      </c>
      <c r="E154" s="7" t="s">
        <v>162</v>
      </c>
    </row>
    <row r="155" spans="1:5" ht="27.75" customHeight="1" x14ac:dyDescent="0.2">
      <c r="A155" s="8">
        <f>A154+B155-C155</f>
        <v>580000</v>
      </c>
      <c r="B155" s="8">
        <v>120000</v>
      </c>
      <c r="C155" s="8"/>
      <c r="D155" s="1" t="s">
        <v>166</v>
      </c>
      <c r="E155" s="1" t="s">
        <v>165</v>
      </c>
    </row>
    <row r="156" spans="1:5" ht="27.75" customHeight="1" x14ac:dyDescent="0.2">
      <c r="A156" s="8">
        <f t="shared" ref="A156:A162" si="10">A155+B156-C156</f>
        <v>-170000</v>
      </c>
      <c r="B156" s="8"/>
      <c r="C156" s="8">
        <v>750000</v>
      </c>
      <c r="D156" s="1" t="s">
        <v>167</v>
      </c>
      <c r="E156" s="1"/>
    </row>
    <row r="157" spans="1:5" ht="27.75" customHeight="1" x14ac:dyDescent="0.35">
      <c r="A157" s="8">
        <f t="shared" si="10"/>
        <v>-75000</v>
      </c>
      <c r="B157" s="16">
        <v>95000</v>
      </c>
      <c r="C157" s="10"/>
      <c r="D157" s="14" t="s">
        <v>169</v>
      </c>
      <c r="E157" s="14" t="s">
        <v>168</v>
      </c>
    </row>
    <row r="158" spans="1:5" ht="27.75" customHeight="1" x14ac:dyDescent="0.2">
      <c r="A158" s="8">
        <f t="shared" si="10"/>
        <v>-3000</v>
      </c>
      <c r="B158" s="8">
        <v>72000</v>
      </c>
      <c r="C158" s="8"/>
      <c r="D158" s="14" t="s">
        <v>45</v>
      </c>
      <c r="E158" s="1" t="s">
        <v>170</v>
      </c>
    </row>
    <row r="159" spans="1:5" ht="27.75" customHeight="1" x14ac:dyDescent="0.2">
      <c r="A159" s="8">
        <f t="shared" si="10"/>
        <v>91000</v>
      </c>
      <c r="B159" s="1">
        <v>94000</v>
      </c>
      <c r="C159" s="1"/>
      <c r="D159" s="1" t="s">
        <v>172</v>
      </c>
      <c r="E159" s="1" t="s">
        <v>171</v>
      </c>
    </row>
    <row r="160" spans="1:5" ht="27.75" customHeight="1" x14ac:dyDescent="0.2">
      <c r="A160" s="8">
        <f t="shared" si="10"/>
        <v>141000</v>
      </c>
      <c r="B160" s="1">
        <v>50000</v>
      </c>
      <c r="C160" s="1"/>
      <c r="D160" s="1" t="s">
        <v>159</v>
      </c>
      <c r="E160" s="1" t="s">
        <v>173</v>
      </c>
    </row>
    <row r="161" spans="1:5" ht="27.75" customHeight="1" x14ac:dyDescent="0.2">
      <c r="A161" s="8">
        <f t="shared" si="10"/>
        <v>321000</v>
      </c>
      <c r="B161" s="1">
        <v>180000</v>
      </c>
      <c r="C161" s="1"/>
      <c r="D161" s="1" t="s">
        <v>175</v>
      </c>
      <c r="E161" s="1" t="s">
        <v>174</v>
      </c>
    </row>
    <row r="162" spans="1:5" ht="27.75" customHeight="1" x14ac:dyDescent="0.2">
      <c r="A162" s="8">
        <f t="shared" si="10"/>
        <v>621000</v>
      </c>
      <c r="B162" s="1">
        <v>300000</v>
      </c>
      <c r="C162" s="1"/>
      <c r="D162" s="1" t="s">
        <v>159</v>
      </c>
      <c r="E162" s="1" t="s">
        <v>176</v>
      </c>
    </row>
    <row r="163" spans="1:5" ht="27.75" customHeight="1" x14ac:dyDescent="0.2">
      <c r="B163" s="9">
        <f>SUM(B143:B162)+B136</f>
        <v>8098000</v>
      </c>
      <c r="C163" s="9">
        <f>SUM(C143:C162)+C136</f>
        <v>7477000</v>
      </c>
    </row>
    <row r="164" spans="1:5" ht="27.75" customHeight="1" x14ac:dyDescent="0.2"/>
    <row r="165" spans="1:5" ht="27.75" customHeight="1" x14ac:dyDescent="0.35">
      <c r="B165" s="15">
        <f>A162</f>
        <v>621000</v>
      </c>
      <c r="C165" s="17" t="s">
        <v>80</v>
      </c>
      <c r="D165" s="17"/>
    </row>
    <row r="166" spans="1:5" ht="27.75" customHeight="1" x14ac:dyDescent="0.2"/>
    <row r="167" spans="1:5" ht="27.75" customHeight="1" x14ac:dyDescent="0.2"/>
    <row r="168" spans="1:5" ht="27.75" customHeight="1" x14ac:dyDescent="0.3">
      <c r="A168" t="s">
        <v>10</v>
      </c>
      <c r="B168" s="2" t="s">
        <v>0</v>
      </c>
      <c r="C168" s="2"/>
    </row>
    <row r="169" spans="1:5" ht="27.75" customHeight="1" x14ac:dyDescent="0.35">
      <c r="A169" s="3" t="s">
        <v>4</v>
      </c>
      <c r="B169" s="4" t="s">
        <v>3</v>
      </c>
      <c r="C169" s="3" t="s">
        <v>1</v>
      </c>
      <c r="D169" s="5" t="s">
        <v>2</v>
      </c>
      <c r="E169" s="5" t="s">
        <v>7</v>
      </c>
    </row>
    <row r="170" spans="1:5" ht="28.5" customHeight="1" x14ac:dyDescent="0.2">
      <c r="A170" s="8">
        <f>B165+B170-C170</f>
        <v>733000</v>
      </c>
      <c r="B170" s="8">
        <v>112000</v>
      </c>
      <c r="C170" s="8"/>
      <c r="D170" s="1" t="s">
        <v>135</v>
      </c>
      <c r="E170" s="1" t="s">
        <v>177</v>
      </c>
    </row>
    <row r="171" spans="1:5" ht="28.5" customHeight="1" x14ac:dyDescent="0.2">
      <c r="A171" s="8">
        <f>A170+B171-C171</f>
        <v>0</v>
      </c>
      <c r="B171" s="8"/>
      <c r="C171" s="8">
        <v>733000</v>
      </c>
      <c r="D171" s="1" t="s">
        <v>12</v>
      </c>
      <c r="E171" s="1" t="s">
        <v>177</v>
      </c>
    </row>
    <row r="172" spans="1:5" ht="28.5" customHeight="1" x14ac:dyDescent="0.2">
      <c r="A172" s="8">
        <f t="shared" ref="A172:A179" si="11">A171+B172-C172</f>
        <v>250000</v>
      </c>
      <c r="B172" s="8">
        <v>250000</v>
      </c>
      <c r="C172" s="8"/>
      <c r="D172" s="1" t="s">
        <v>159</v>
      </c>
      <c r="E172" s="1" t="s">
        <v>178</v>
      </c>
    </row>
    <row r="173" spans="1:5" ht="28.5" customHeight="1" x14ac:dyDescent="0.2">
      <c r="A173" s="8">
        <f t="shared" si="11"/>
        <v>334000</v>
      </c>
      <c r="B173" s="8">
        <v>84000</v>
      </c>
      <c r="C173" s="8"/>
      <c r="D173" s="1" t="s">
        <v>135</v>
      </c>
      <c r="E173" s="1" t="s">
        <v>179</v>
      </c>
    </row>
    <row r="174" spans="1:5" ht="28.5" customHeight="1" x14ac:dyDescent="0.2">
      <c r="A174" s="8">
        <f t="shared" si="11"/>
        <v>514000</v>
      </c>
      <c r="B174" s="8">
        <v>180000</v>
      </c>
      <c r="C174" s="8"/>
      <c r="D174" s="1" t="s">
        <v>180</v>
      </c>
      <c r="E174" s="1" t="s">
        <v>179</v>
      </c>
    </row>
    <row r="175" spans="1:5" ht="28.5" customHeight="1" x14ac:dyDescent="0.2">
      <c r="A175" s="8">
        <f t="shared" si="11"/>
        <v>626000</v>
      </c>
      <c r="B175" s="8">
        <v>112000</v>
      </c>
      <c r="C175" s="8"/>
      <c r="D175" s="1" t="s">
        <v>135</v>
      </c>
      <c r="E175" s="1" t="s">
        <v>181</v>
      </c>
    </row>
    <row r="176" spans="1:5" ht="28.5" customHeight="1" x14ac:dyDescent="0.2">
      <c r="A176" s="8">
        <f t="shared" si="11"/>
        <v>-2000</v>
      </c>
      <c r="B176" s="8"/>
      <c r="C176" s="8">
        <v>628000</v>
      </c>
      <c r="D176" s="1" t="s">
        <v>12</v>
      </c>
      <c r="E176" s="1" t="s">
        <v>182</v>
      </c>
    </row>
    <row r="177" spans="1:5" ht="28.5" customHeight="1" x14ac:dyDescent="0.2">
      <c r="A177" s="8">
        <f t="shared" si="11"/>
        <v>-62000</v>
      </c>
      <c r="B177" s="8"/>
      <c r="C177" s="8">
        <v>60000</v>
      </c>
      <c r="D177" s="1" t="s">
        <v>183</v>
      </c>
      <c r="E177" s="1"/>
    </row>
    <row r="178" spans="1:5" ht="28.5" customHeight="1" x14ac:dyDescent="0.2">
      <c r="A178" s="8">
        <f t="shared" si="11"/>
        <v>-370000</v>
      </c>
      <c r="B178" s="8"/>
      <c r="C178" s="8">
        <v>308000</v>
      </c>
      <c r="D178" s="1" t="s">
        <v>190</v>
      </c>
      <c r="E178" s="1" t="s">
        <v>185</v>
      </c>
    </row>
    <row r="179" spans="1:5" ht="28.5" customHeight="1" x14ac:dyDescent="0.2">
      <c r="A179" s="8">
        <f t="shared" si="11"/>
        <v>-96000</v>
      </c>
      <c r="B179" s="8">
        <v>274000</v>
      </c>
      <c r="C179" s="8"/>
      <c r="D179" s="1" t="s">
        <v>187</v>
      </c>
      <c r="E179" s="1" t="s">
        <v>186</v>
      </c>
    </row>
    <row r="180" spans="1:5" ht="28.5" customHeight="1" x14ac:dyDescent="0.2">
      <c r="A180" s="8">
        <f>A179+B180-C180</f>
        <v>-46000</v>
      </c>
      <c r="B180" s="8">
        <v>50000</v>
      </c>
      <c r="C180" s="8"/>
      <c r="D180" s="1" t="s">
        <v>159</v>
      </c>
      <c r="E180" s="1" t="s">
        <v>188</v>
      </c>
    </row>
    <row r="181" spans="1:5" ht="28.5" customHeight="1" x14ac:dyDescent="0.2">
      <c r="A181" s="8">
        <f t="shared" ref="A181" si="12">A180+B181-C181</f>
        <v>171000</v>
      </c>
      <c r="B181" s="8">
        <v>217000</v>
      </c>
      <c r="C181" s="8"/>
      <c r="D181" s="1" t="s">
        <v>105</v>
      </c>
      <c r="E181" s="1" t="s">
        <v>189</v>
      </c>
    </row>
    <row r="182" spans="1:5" ht="28.5" customHeight="1" x14ac:dyDescent="0.2">
      <c r="A182" s="8">
        <f>A181+B182-C182</f>
        <v>223000</v>
      </c>
      <c r="B182" s="8">
        <v>52000</v>
      </c>
      <c r="C182" s="8"/>
      <c r="D182" s="1" t="s">
        <v>192</v>
      </c>
      <c r="E182" s="1" t="s">
        <v>191</v>
      </c>
    </row>
    <row r="183" spans="1:5" ht="28.5" customHeight="1" x14ac:dyDescent="0.2">
      <c r="A183" s="8">
        <f t="shared" ref="A183:A189" si="13">A182+B183-C183</f>
        <v>3000</v>
      </c>
      <c r="B183" s="8"/>
      <c r="C183" s="8">
        <v>220000</v>
      </c>
      <c r="D183" s="1" t="s">
        <v>193</v>
      </c>
      <c r="E183" s="1"/>
    </row>
    <row r="184" spans="1:5" ht="28.5" customHeight="1" x14ac:dyDescent="0.35">
      <c r="A184" s="8">
        <f t="shared" si="13"/>
        <v>115000</v>
      </c>
      <c r="B184" s="8">
        <v>112000</v>
      </c>
      <c r="C184" s="10"/>
      <c r="D184" s="1" t="s">
        <v>135</v>
      </c>
      <c r="E184" s="1" t="s">
        <v>194</v>
      </c>
    </row>
    <row r="185" spans="1:5" ht="28.5" customHeight="1" x14ac:dyDescent="0.2">
      <c r="A185" s="8">
        <f t="shared" si="13"/>
        <v>145000</v>
      </c>
      <c r="B185" s="8">
        <v>30000</v>
      </c>
      <c r="C185" s="8"/>
      <c r="D185" s="1" t="s">
        <v>135</v>
      </c>
      <c r="E185" s="1" t="s">
        <v>195</v>
      </c>
    </row>
    <row r="186" spans="1:5" ht="28.5" customHeight="1" x14ac:dyDescent="0.2">
      <c r="A186" s="8">
        <f t="shared" si="13"/>
        <v>307000</v>
      </c>
      <c r="B186" s="8">
        <v>162000</v>
      </c>
      <c r="C186" s="1"/>
      <c r="D186" s="1" t="s">
        <v>135</v>
      </c>
      <c r="E186" s="1" t="s">
        <v>196</v>
      </c>
    </row>
    <row r="187" spans="1:5" ht="28.5" customHeight="1" x14ac:dyDescent="0.2">
      <c r="A187" s="8">
        <f t="shared" si="13"/>
        <v>0</v>
      </c>
      <c r="B187" s="8"/>
      <c r="C187" s="1">
        <v>307000</v>
      </c>
      <c r="D187" s="1" t="s">
        <v>12</v>
      </c>
      <c r="E187" s="1" t="s">
        <v>197</v>
      </c>
    </row>
    <row r="188" spans="1:5" ht="28.5" customHeight="1" x14ac:dyDescent="0.2">
      <c r="A188" s="8">
        <f t="shared" si="13"/>
        <v>-50000</v>
      </c>
      <c r="B188" s="8"/>
      <c r="C188" s="1">
        <v>50000</v>
      </c>
      <c r="D188" s="1" t="s">
        <v>199</v>
      </c>
      <c r="E188" s="1" t="s">
        <v>198</v>
      </c>
    </row>
    <row r="189" spans="1:5" ht="28.5" customHeight="1" x14ac:dyDescent="0.2">
      <c r="A189" s="8">
        <f t="shared" si="13"/>
        <v>88000</v>
      </c>
      <c r="B189" s="8">
        <v>138000</v>
      </c>
      <c r="C189" s="1"/>
      <c r="D189" s="1" t="s">
        <v>201</v>
      </c>
      <c r="E189" s="1" t="s">
        <v>200</v>
      </c>
    </row>
    <row r="190" spans="1:5" ht="28.5" customHeight="1" x14ac:dyDescent="0.2">
      <c r="B190" s="9">
        <f>SUM(B170:B189)+B163</f>
        <v>9871000</v>
      </c>
      <c r="C190" s="9">
        <f>SUM(C170:C189)+C163</f>
        <v>9783000</v>
      </c>
    </row>
    <row r="191" spans="1:5" ht="28.5" customHeight="1" x14ac:dyDescent="0.2"/>
    <row r="192" spans="1:5" ht="28.5" customHeight="1" x14ac:dyDescent="0.35">
      <c r="B192" s="15">
        <f>A189</f>
        <v>88000</v>
      </c>
      <c r="C192" s="17" t="s">
        <v>184</v>
      </c>
      <c r="D192" s="17"/>
    </row>
    <row r="193" spans="1:5" ht="28.5" customHeight="1" x14ac:dyDescent="0.2"/>
    <row r="194" spans="1:5" ht="28.5" customHeight="1" x14ac:dyDescent="0.3">
      <c r="A194" t="s">
        <v>10</v>
      </c>
      <c r="B194" s="2" t="s">
        <v>0</v>
      </c>
      <c r="C194" s="2"/>
    </row>
    <row r="195" spans="1:5" ht="28.5" customHeight="1" x14ac:dyDescent="0.35">
      <c r="A195" s="3" t="s">
        <v>4</v>
      </c>
      <c r="B195" s="4" t="s">
        <v>3</v>
      </c>
      <c r="C195" s="3" t="s">
        <v>1</v>
      </c>
      <c r="D195" s="5" t="s">
        <v>2</v>
      </c>
      <c r="E195" s="5" t="s">
        <v>7</v>
      </c>
    </row>
    <row r="196" spans="1:5" ht="28.5" customHeight="1" x14ac:dyDescent="0.2">
      <c r="A196" s="8">
        <f>B192+B196-C196</f>
        <v>383000</v>
      </c>
      <c r="B196" s="8">
        <v>295000</v>
      </c>
      <c r="C196" s="8"/>
      <c r="D196" s="1" t="s">
        <v>203</v>
      </c>
      <c r="E196" s="1" t="s">
        <v>202</v>
      </c>
    </row>
    <row r="197" spans="1:5" ht="28.5" customHeight="1" x14ac:dyDescent="0.2">
      <c r="A197" s="8">
        <f>A196+B197-C197</f>
        <v>545000</v>
      </c>
      <c r="B197" s="8">
        <v>162000</v>
      </c>
      <c r="C197" s="8"/>
      <c r="D197" s="1" t="s">
        <v>135</v>
      </c>
      <c r="E197" s="1"/>
    </row>
    <row r="198" spans="1:5" ht="28.5" customHeight="1" x14ac:dyDescent="0.2">
      <c r="A198" s="8">
        <f t="shared" ref="A198:A205" si="14">A197+B198-C198</f>
        <v>145000</v>
      </c>
      <c r="B198" s="8"/>
      <c r="C198" s="8">
        <v>400000</v>
      </c>
      <c r="D198" s="1" t="s">
        <v>205</v>
      </c>
      <c r="E198" s="1" t="s">
        <v>204</v>
      </c>
    </row>
    <row r="199" spans="1:5" ht="28.5" customHeight="1" x14ac:dyDescent="0.2">
      <c r="A199" s="8">
        <f t="shared" si="14"/>
        <v>0</v>
      </c>
      <c r="B199" s="8"/>
      <c r="C199" s="8">
        <v>145000</v>
      </c>
      <c r="D199" s="1" t="s">
        <v>206</v>
      </c>
      <c r="E199" s="1"/>
    </row>
    <row r="200" spans="1:5" ht="28.5" customHeight="1" x14ac:dyDescent="0.2">
      <c r="A200" s="8">
        <f t="shared" si="14"/>
        <v>98000</v>
      </c>
      <c r="B200" s="8">
        <v>98000</v>
      </c>
      <c r="C200" s="8"/>
      <c r="D200" s="1" t="s">
        <v>208</v>
      </c>
      <c r="E200" s="1" t="s">
        <v>207</v>
      </c>
    </row>
    <row r="201" spans="1:5" ht="28.5" customHeight="1" x14ac:dyDescent="0.2">
      <c r="A201" s="8">
        <f t="shared" si="14"/>
        <v>357000</v>
      </c>
      <c r="B201" s="8">
        <v>259000</v>
      </c>
      <c r="C201" s="8"/>
      <c r="D201" s="1" t="s">
        <v>209</v>
      </c>
      <c r="E201" s="1"/>
    </row>
    <row r="202" spans="1:5" ht="28.5" customHeight="1" x14ac:dyDescent="0.2">
      <c r="A202" s="8">
        <f t="shared" si="14"/>
        <v>512000</v>
      </c>
      <c r="B202" s="8">
        <v>155000</v>
      </c>
      <c r="C202" s="8"/>
      <c r="D202" s="1" t="s">
        <v>211</v>
      </c>
      <c r="E202" s="1" t="s">
        <v>210</v>
      </c>
    </row>
    <row r="203" spans="1:5" ht="28.5" customHeight="1" x14ac:dyDescent="0.2">
      <c r="A203" s="8">
        <f t="shared" si="14"/>
        <v>-88000</v>
      </c>
      <c r="B203" s="8"/>
      <c r="C203" s="8">
        <v>600000</v>
      </c>
      <c r="D203" s="1" t="s">
        <v>12</v>
      </c>
      <c r="E203" s="1" t="s">
        <v>212</v>
      </c>
    </row>
    <row r="204" spans="1:5" ht="28.5" customHeight="1" x14ac:dyDescent="0.2">
      <c r="A204" s="8">
        <f t="shared" si="14"/>
        <v>46000</v>
      </c>
      <c r="B204" s="8">
        <v>134000</v>
      </c>
      <c r="C204" s="8"/>
      <c r="D204" s="1" t="s">
        <v>214</v>
      </c>
      <c r="E204" s="1" t="s">
        <v>213</v>
      </c>
    </row>
    <row r="205" spans="1:5" ht="28.5" customHeight="1" x14ac:dyDescent="0.2">
      <c r="A205" s="8">
        <f t="shared" si="14"/>
        <v>208000</v>
      </c>
      <c r="B205" s="8">
        <v>162000</v>
      </c>
      <c r="C205" s="8"/>
      <c r="D205" s="1" t="s">
        <v>135</v>
      </c>
      <c r="E205" s="1" t="s">
        <v>215</v>
      </c>
    </row>
    <row r="206" spans="1:5" ht="28.5" customHeight="1" x14ac:dyDescent="0.2">
      <c r="A206" s="8">
        <f>A205+B206-C206</f>
        <v>258000</v>
      </c>
      <c r="B206" s="8">
        <v>50000</v>
      </c>
      <c r="C206" s="8"/>
      <c r="D206" s="1" t="s">
        <v>217</v>
      </c>
      <c r="E206" s="1" t="s">
        <v>216</v>
      </c>
    </row>
    <row r="207" spans="1:5" ht="28.5" customHeight="1" x14ac:dyDescent="0.2">
      <c r="A207" s="8">
        <f t="shared" ref="A207" si="15">A206+B207-C207</f>
        <v>329000</v>
      </c>
      <c r="B207" s="8">
        <v>71000</v>
      </c>
      <c r="C207" s="8"/>
      <c r="D207" s="1" t="s">
        <v>218</v>
      </c>
      <c r="E207" s="1" t="s">
        <v>146</v>
      </c>
    </row>
    <row r="208" spans="1:5" ht="28.5" customHeight="1" x14ac:dyDescent="0.2">
      <c r="A208" s="8">
        <f>A207+B208-C208</f>
        <v>329000</v>
      </c>
      <c r="B208" s="8"/>
      <c r="C208" s="8"/>
      <c r="D208" s="1"/>
      <c r="E208" s="1"/>
    </row>
    <row r="209" spans="1:5" ht="28.5" customHeight="1" x14ac:dyDescent="0.2">
      <c r="A209" s="8">
        <f t="shared" ref="A209:A215" si="16">A208+B209-C209</f>
        <v>329000</v>
      </c>
      <c r="B209" s="8"/>
      <c r="C209" s="8"/>
      <c r="D209" s="1"/>
      <c r="E209" s="1"/>
    </row>
    <row r="210" spans="1:5" ht="28.5" customHeight="1" x14ac:dyDescent="0.2">
      <c r="A210" s="8">
        <f t="shared" si="16"/>
        <v>329000</v>
      </c>
      <c r="B210" s="8"/>
      <c r="C210" s="8"/>
      <c r="D210" s="1"/>
      <c r="E210" s="1"/>
    </row>
    <row r="211" spans="1:5" ht="28.5" customHeight="1" x14ac:dyDescent="0.2">
      <c r="A211" s="8">
        <f t="shared" si="16"/>
        <v>329000</v>
      </c>
      <c r="B211" s="8"/>
      <c r="C211" s="8"/>
      <c r="D211" s="1"/>
      <c r="E211" s="1"/>
    </row>
    <row r="212" spans="1:5" ht="28.5" customHeight="1" x14ac:dyDescent="0.2">
      <c r="A212" s="8">
        <f t="shared" si="16"/>
        <v>329000</v>
      </c>
      <c r="B212" s="8"/>
      <c r="C212" s="8"/>
      <c r="D212" s="1"/>
      <c r="E212" s="1"/>
    </row>
    <row r="213" spans="1:5" ht="28.5" customHeight="1" x14ac:dyDescent="0.2">
      <c r="A213" s="8">
        <f t="shared" si="16"/>
        <v>329000</v>
      </c>
      <c r="B213" s="8"/>
      <c r="C213" s="8"/>
      <c r="D213" s="1"/>
      <c r="E213" s="1"/>
    </row>
    <row r="214" spans="1:5" ht="28.5" customHeight="1" x14ac:dyDescent="0.2">
      <c r="A214" s="8">
        <f t="shared" si="16"/>
        <v>329000</v>
      </c>
      <c r="B214" s="8"/>
      <c r="C214" s="8"/>
      <c r="D214" s="1"/>
      <c r="E214" s="1"/>
    </row>
    <row r="215" spans="1:5" ht="28.5" customHeight="1" x14ac:dyDescent="0.2">
      <c r="A215" s="8">
        <f t="shared" si="16"/>
        <v>329000</v>
      </c>
      <c r="B215" s="8"/>
      <c r="C215" s="8"/>
      <c r="D215" s="1"/>
      <c r="E215" s="1"/>
    </row>
    <row r="216" spans="1:5" ht="28.5" customHeight="1" x14ac:dyDescent="0.2">
      <c r="B216" s="9">
        <f>SUM(B196:B215)+B190</f>
        <v>11257000</v>
      </c>
      <c r="C216" s="9">
        <f>SUM(C196:C215)+C190</f>
        <v>10928000</v>
      </c>
    </row>
    <row r="217" spans="1:5" ht="28.5" customHeight="1" x14ac:dyDescent="0.2"/>
    <row r="218" spans="1:5" ht="28.5" customHeight="1" x14ac:dyDescent="0.35">
      <c r="B218" s="15">
        <f>A215</f>
        <v>329000</v>
      </c>
      <c r="C218" s="17" t="s">
        <v>184</v>
      </c>
      <c r="D218" s="17"/>
    </row>
    <row r="219" spans="1:5" ht="28.5" customHeight="1" x14ac:dyDescent="0.2"/>
    <row r="220" spans="1:5" ht="28.5" customHeight="1" x14ac:dyDescent="0.2"/>
    <row r="221" spans="1:5" ht="28.5" customHeight="1" x14ac:dyDescent="0.2"/>
    <row r="222" spans="1:5" ht="28.5" customHeight="1" x14ac:dyDescent="0.2"/>
    <row r="223" spans="1:5" ht="28.5" customHeight="1" x14ac:dyDescent="0.2"/>
    <row r="224" spans="1:5" ht="28.5" customHeight="1" x14ac:dyDescent="0.2"/>
    <row r="225" ht="28.5" customHeight="1" x14ac:dyDescent="0.2"/>
    <row r="226" ht="28.5" customHeight="1" x14ac:dyDescent="0.2"/>
    <row r="227" ht="28.5" customHeight="1" x14ac:dyDescent="0.2"/>
    <row r="228" ht="28.5" customHeight="1" x14ac:dyDescent="0.2"/>
    <row r="229" ht="28.5" customHeight="1" x14ac:dyDescent="0.2"/>
    <row r="230" ht="28.5" customHeight="1" x14ac:dyDescent="0.2"/>
    <row r="231" ht="28.5" customHeight="1" x14ac:dyDescent="0.2"/>
    <row r="232" ht="28.5" customHeight="1" x14ac:dyDescent="0.2"/>
    <row r="233" ht="28.5" customHeight="1" x14ac:dyDescent="0.2"/>
    <row r="234" ht="28.5" customHeight="1" x14ac:dyDescent="0.2"/>
    <row r="235" ht="28.5" customHeight="1" x14ac:dyDescent="0.2"/>
    <row r="236" ht="28.5" customHeight="1" x14ac:dyDescent="0.2"/>
    <row r="237" ht="28.5" customHeight="1" x14ac:dyDescent="0.2"/>
    <row r="238" ht="28.5" customHeight="1" x14ac:dyDescent="0.2"/>
    <row r="239" ht="28.5" customHeight="1" x14ac:dyDescent="0.2"/>
    <row r="240" ht="28.5" customHeight="1" x14ac:dyDescent="0.2"/>
    <row r="241" ht="28.5" customHeight="1" x14ac:dyDescent="0.2"/>
    <row r="242" ht="28.5" customHeight="1" x14ac:dyDescent="0.2"/>
    <row r="243" ht="28.5" customHeight="1" x14ac:dyDescent="0.2"/>
    <row r="244" ht="28.5" customHeight="1" x14ac:dyDescent="0.2"/>
    <row r="245" ht="28.5" customHeight="1" x14ac:dyDescent="0.2"/>
    <row r="246" ht="28.5" customHeight="1" x14ac:dyDescent="0.2"/>
    <row r="247" ht="28.5" customHeight="1" x14ac:dyDescent="0.2"/>
    <row r="248" ht="28.5" customHeight="1" x14ac:dyDescent="0.2"/>
    <row r="249" ht="28.5" customHeight="1" x14ac:dyDescent="0.2"/>
    <row r="250" ht="28.5" customHeight="1" x14ac:dyDescent="0.2"/>
    <row r="251" ht="28.5" customHeight="1" x14ac:dyDescent="0.2"/>
    <row r="252" ht="28.5" customHeight="1" x14ac:dyDescent="0.2"/>
    <row r="253" ht="28.5" customHeight="1" x14ac:dyDescent="0.2"/>
    <row r="254" ht="28.5" customHeight="1" x14ac:dyDescent="0.2"/>
    <row r="255" ht="28.5" customHeight="1" x14ac:dyDescent="0.2"/>
    <row r="256" ht="28.5" customHeight="1" x14ac:dyDescent="0.2"/>
    <row r="257" ht="28.5" customHeight="1" x14ac:dyDescent="0.2"/>
    <row r="258" ht="28.5" customHeight="1" x14ac:dyDescent="0.2"/>
    <row r="259" ht="28.5" customHeight="1" x14ac:dyDescent="0.2"/>
    <row r="260" ht="28.5" customHeight="1" x14ac:dyDescent="0.2"/>
    <row r="261" ht="28.5" customHeight="1" x14ac:dyDescent="0.2"/>
    <row r="262" ht="28.5" customHeight="1" x14ac:dyDescent="0.2"/>
    <row r="263" ht="28.5" customHeight="1" x14ac:dyDescent="0.2"/>
    <row r="264" ht="28.5" customHeight="1" x14ac:dyDescent="0.2"/>
    <row r="265" ht="28.5" customHeight="1" x14ac:dyDescent="0.2"/>
    <row r="266" ht="28.5" customHeight="1" x14ac:dyDescent="0.2"/>
    <row r="267" ht="28.5" customHeight="1" x14ac:dyDescent="0.2"/>
    <row r="268" ht="28.5" customHeight="1" x14ac:dyDescent="0.2"/>
    <row r="269" ht="28.5" customHeight="1" x14ac:dyDescent="0.2"/>
    <row r="270" ht="28.5" customHeight="1" x14ac:dyDescent="0.2"/>
    <row r="271" ht="28.5" customHeight="1" x14ac:dyDescent="0.2"/>
    <row r="272" ht="28.5" customHeight="1" x14ac:dyDescent="0.2"/>
    <row r="273" ht="28.5" customHeight="1" x14ac:dyDescent="0.2"/>
    <row r="274" ht="28.5" customHeight="1" x14ac:dyDescent="0.2"/>
    <row r="275" ht="28.5" customHeight="1" x14ac:dyDescent="0.2"/>
    <row r="276" ht="28.5" customHeight="1" x14ac:dyDescent="0.2"/>
    <row r="277" ht="28.5" customHeight="1" x14ac:dyDescent="0.2"/>
    <row r="278" ht="28.5" customHeight="1" x14ac:dyDescent="0.2"/>
    <row r="279" ht="28.5" customHeight="1" x14ac:dyDescent="0.2"/>
    <row r="280" ht="28.5" customHeight="1" x14ac:dyDescent="0.2"/>
    <row r="281" ht="28.5" customHeight="1" x14ac:dyDescent="0.2"/>
    <row r="282" ht="28.5" customHeight="1" x14ac:dyDescent="0.2"/>
    <row r="283" ht="28.5" customHeight="1" x14ac:dyDescent="0.2"/>
    <row r="284" ht="28.5" customHeight="1" x14ac:dyDescent="0.2"/>
    <row r="285" ht="28.5" customHeight="1" x14ac:dyDescent="0.2"/>
    <row r="286" ht="28.5" customHeight="1" x14ac:dyDescent="0.2"/>
    <row r="287" ht="28.5" customHeight="1" x14ac:dyDescent="0.2"/>
    <row r="288" ht="28.5" customHeight="1" x14ac:dyDescent="0.2"/>
    <row r="289" ht="28.5" customHeight="1" x14ac:dyDescent="0.2"/>
    <row r="290" ht="28.5" customHeight="1" x14ac:dyDescent="0.2"/>
    <row r="291" ht="28.5" customHeight="1" x14ac:dyDescent="0.2"/>
    <row r="292" ht="28.5" customHeight="1" x14ac:dyDescent="0.2"/>
    <row r="293" ht="28.5" customHeight="1" x14ac:dyDescent="0.2"/>
    <row r="294" ht="28.5" customHeight="1" x14ac:dyDescent="0.2"/>
    <row r="295" ht="28.5" customHeight="1" x14ac:dyDescent="0.2"/>
    <row r="296" ht="28.5" customHeight="1" x14ac:dyDescent="0.2"/>
    <row r="297" ht="28.5" customHeight="1" x14ac:dyDescent="0.2"/>
    <row r="298" ht="28.5" customHeight="1" x14ac:dyDescent="0.2"/>
    <row r="299" ht="28.5" customHeight="1" x14ac:dyDescent="0.2"/>
    <row r="300" ht="28.5" customHeight="1" x14ac:dyDescent="0.2"/>
    <row r="301" ht="28.5" customHeight="1" x14ac:dyDescent="0.2"/>
    <row r="302" ht="28.5" customHeight="1" x14ac:dyDescent="0.2"/>
    <row r="303" ht="28.5" customHeight="1" x14ac:dyDescent="0.2"/>
    <row r="304" ht="28.5" customHeight="1" x14ac:dyDescent="0.2"/>
  </sheetData>
  <mergeCells count="6">
    <mergeCell ref="C218:D218"/>
    <mergeCell ref="C85:D85"/>
    <mergeCell ref="C112:D112"/>
    <mergeCell ref="C138:D138"/>
    <mergeCell ref="C165:D165"/>
    <mergeCell ref="C192:D192"/>
  </mergeCells>
  <conditionalFormatting sqref="B112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38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65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192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18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2026-08-23T13:19:28Z</dcterms:modified>
</cp:coreProperties>
</file>