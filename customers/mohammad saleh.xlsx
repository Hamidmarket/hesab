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6" i="1" l="1"/>
  <c r="B216" i="1"/>
  <c r="A196" i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B218" i="1" s="1"/>
  <c r="H2" i="1" s="1"/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<sst xmlns="http://schemas.openxmlformats.org/spreadsheetml/2006/main" count="358" uniqueCount="207">
  <si>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</si>
  <si>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</si>
  <si>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</si>
  <si>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</si>
  <si>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</si>
  <si>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</si>
  <si>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</si>
  <si>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</si>
  <si>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</si>
  <si>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</si>
  <si>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</si>
  <si>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</si>
  <si>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</si>
  <si>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</si>
  <si>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</si>
  <si>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</si>
  <si>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</si>
  <si>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</si>
  <si>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</si>
  <si>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</si>
  <si>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</si>
  <si>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</si>
  <si>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</si>
  <si>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</si>
  <si>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</si>
  <si>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</si>
  <si>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</si>
  <si>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</si>
  <si>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</si>
  <si>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</si>
  <si>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</si>
  <si>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</si>
  <si>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</si>
  <si>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</si>
  <si>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</si>
  <si>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</si>
  <si>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</si>
  <si>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</si>
  <si>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</si>
  <si>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</si>
  <si>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</si>
  <si>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</si>
  <si>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</si>
  <si>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</si>
  <si>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</si>
  <si>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</si>
  <si>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</si>
  <si>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</si>
  <si>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</si>
  <si>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</si>
  <si>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</si>
  <si>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</si>
  <si>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</si>
  <si>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</si>
  <si>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</si>
  <si>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</si>
  <si>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</si>
  <si>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</si>
  <si>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</si>
  <si>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</si>
  <si>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</si>
  <si>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</si>
  <si>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</si>
  <si>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</si>
  <si>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</si>
  <si>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</si>
  <si>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</si>
  <si>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</si>
  <si>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</si>
  <si>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</si>
  <si>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</si>
  <si>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</si>
  <si>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</si>
  <si>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</si>
  <si>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</si>
  <si>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</si>
  <si>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</si>
  <si>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</si>
  <si>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</si>
  <si>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</si>
  <si>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</si>
  <si>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</si>
  <si>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</si>
  <si>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</si>
  <si>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</si>
  <si>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</si>
  <si>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</si>
  <si>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</si>
  <si>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</si>
  <si>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</si>
  <si>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</si>
  <si>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</si>
  <si>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</si>
  <si>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</si>
  <si>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</si>
  <si>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</si>
  <si>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</si>
  <si>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</si>
  <si>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</si>
  <si>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</si>
  <si>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</si>
  <si>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</si>
  <si>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</si>
  <si>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</si>
  <si>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</si>
  <si>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</si>
  <si>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</si>
  <si>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</si>
  <si>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</si>
  <si>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</si>
  <si>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</si>
  <si>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</si>
  <si>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</si>
  <si>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</si>
  <si>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</si>
  <si>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</si>
  <si>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</si>
  <si>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</si>
  <si>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</si>
  <si>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</si>
  <si>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</si>
  <si>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</si>
  <si>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</si>
  <si>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</si>
  <si>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</si>
  <si>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</si>
  <si>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</si>
  <si>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</si>
  <si>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</si>
  <si>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</si>
  <si>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</si>
  <si>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</si>
  <si>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</si>
  <si>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</si>
  <si>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</si>
  <si>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</si>
  <si>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</si>
  <si>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</si>
  <si>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</si>
  <si>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</si>
  <si>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</si>
  <si>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</si>
  <si>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</si>
  <si>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</si>
  <si>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</si>
  <si>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</si>
  <si>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</si>
  <si>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</si>
  <si>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</si>
  <si>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</si>
  <si>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</si>
  <si>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</si>
  <si>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</si>
  <si>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</si>
  <si>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</si>
  <si>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</si>
  <si>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</si>
  <si>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</si>
  <si>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</si>
  <si>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</si>
  <si>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</si>
  <si>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</si>
  <si>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</si>
  <si>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</si>
  <si>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</si>
  <si>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</si>
  <si>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</si>
  <si>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</si>
  <si>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</si>
  <si>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</si>
  <si>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</si>
  <si>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</si>
  <si>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</si>
  <si>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</si>
  <si>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</si>
  <si>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</si>
  <si>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</si>
  <si>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</si>
  <si>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</si>
  <si>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</si>
  <si>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</si>
  <si>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</si>
  <si>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</si>
  <si>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</si>
  <si>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</si>
  <si>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</si>
  <si>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</si>
  <si>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</si>
  <si>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</si>
  <si>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</si>
  <si>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</si>
  <si>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</si>
  <si>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</si>
  <si>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</si>
  <si>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</si>
  <si>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</si>
  <si>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</si>
  <si>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</si>
  <si>
    <t>1405/04/30</t>
  </si>
  <si>
    <t>طلب چراغ</t>
  </si>
  <si>
    <t>1405/05/02</t>
  </si>
  <si>
    <t>ادامس سیگار</t>
  </si>
  <si>
    <t>1405/05/09</t>
  </si>
  <si>
    <t xml:space="preserve">رانی سیگار </t>
  </si>
  <si>
    <t>1405/05/10</t>
  </si>
  <si>
    <t>وجه کله ای برچسب</t>
  </si>
  <si>
    <t xml:space="preserve">وجه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</si>
</sst>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192" zoomScaleNormal="100" workbookViewId="0">
      <selection activeCell="C200" sqref="C200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B218</f>
        <v>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-50000</v>
      </c>
      <c r="B188" s="8"/>
      <c r="C188" s="1">
        <v>50000</v>
      </c>
      <c r="D188" s="1" t="s">
        <v>199</v>
      </c>
      <c r="E188" s="1" t="s">
        <v>198</v>
      </c>
    </row>
    <row r="189" spans="1:5" ht="28.5" customHeight="1" x14ac:dyDescent="0.2">
      <c r="A189" s="8">
        <f t="shared" si="13"/>
        <v>88000</v>
      </c>
      <c r="B189" s="8">
        <v>138000</v>
      </c>
      <c r="C189" s="1"/>
      <c r="D189" s="1" t="s">
        <v>201</v>
      </c>
      <c r="E189" s="1" t="s">
        <v>200</v>
      </c>
    </row>
    <row r="190" spans="1:5" ht="28.5" customHeight="1" x14ac:dyDescent="0.2">
      <c r="B190" s="9">
        <f>SUM(B170:B189)+B163</f>
        <v>9871000</v>
      </c>
      <c r="C190" s="9">
        <f>SUM(C170:C189)+C163</f>
        <v>9783000</v>
      </c>
    </row>
    <row r="191" spans="1:5" ht="28.5" customHeight="1" x14ac:dyDescent="0.2"/>
    <row r="192" spans="1:5" ht="28.5" customHeight="1" x14ac:dyDescent="0.35">
      <c r="B192" s="15">
        <f>A189</f>
        <v>88000</v>
      </c>
      <c r="C192" s="17" t="s">
        <v>184</v>
      </c>
      <c r="D192" s="17"/>
    </row>
    <row r="193" spans="1:5" ht="28.5" customHeight="1" x14ac:dyDescent="0.2"/>
    <row r="194" spans="1:5" ht="28.5" customHeight="1" x14ac:dyDescent="0.3">
      <c r="A194" t="s">
        <v>10</v>
      </c>
      <c r="B194" s="2" t="s">
        <v>0</v>
      </c>
      <c r="C194" s="2"/>
    </row>
    <row r="195" spans="1:5" ht="28.5" customHeight="1" x14ac:dyDescent="0.35">
      <c r="A195" s="3" t="s">
        <v>4</v>
      </c>
      <c r="B195" s="4" t="s">
        <v>3</v>
      </c>
      <c r="C195" s="3" t="s">
        <v>1</v>
      </c>
      <c r="D195" s="5" t="s">
        <v>2</v>
      </c>
      <c r="E195" s="5" t="s">
        <v>7</v>
      </c>
    </row>
    <row r="196" spans="1:5" ht="28.5" customHeight="1" x14ac:dyDescent="0.2">
      <c r="A196" s="8">
        <f>B192+B196-C196</f>
        <v>383000</v>
      </c>
      <c r="B196" s="8">
        <v>295000</v>
      </c>
      <c r="C196" s="8"/>
      <c r="D196" s="1" t="s">
        <v>203</v>
      </c>
      <c r="E196" s="1" t="s">
        <v>202</v>
      </c>
    </row>
    <row r="197" spans="1:5" ht="28.5" customHeight="1" x14ac:dyDescent="0.2">
      <c r="A197" s="8">
        <f>A196+B197-C197</f>
        <v>545000</v>
      </c>
      <c r="B197" s="8">
        <v>162000</v>
      </c>
      <c r="C197" s="8"/>
      <c r="D197" s="1" t="s">
        <v>135</v>
      </c>
      <c r="E197" s="1"/>
    </row>
    <row r="198" spans="1:5" ht="28.5" customHeight="1" x14ac:dyDescent="0.2">
      <c r="A198" s="8">
        <f t="shared" ref="A198:A205" si="14">A197+B198-C198</f>
        <v>145000</v>
      </c>
      <c r="B198" s="8"/>
      <c r="C198" s="8">
        <v>400000</v>
      </c>
      <c r="D198" s="1" t="s">
        <v>205</v>
      </c>
      <c r="E198" s="1" t="s">
        <v>204</v>
      </c>
    </row>
    <row r="199" spans="1:5" ht="28.5" customHeight="1" x14ac:dyDescent="0.2">
      <c r="A199" s="8">
        <f t="shared" si="14"/>
        <v>0</v>
      </c>
      <c r="B199" s="8"/>
      <c r="C199" s="8">
        <v>145000</v>
      </c>
      <c r="D199" s="1" t="s">
        <v>206</v>
      </c>
      <c r="E199" s="1"/>
    </row>
    <row r="200" spans="1:5" ht="28.5" customHeight="1" x14ac:dyDescent="0.2">
      <c r="A200" s="8">
        <f t="shared" si="14"/>
        <v>0</v>
      </c>
      <c r="B200" s="8"/>
      <c r="C200" s="8"/>
      <c r="D200" s="1"/>
      <c r="E200" s="1"/>
    </row>
    <row r="201" spans="1:5" ht="28.5" customHeight="1" x14ac:dyDescent="0.2">
      <c r="A201" s="8">
        <f t="shared" si="14"/>
        <v>0</v>
      </c>
      <c r="B201" s="8"/>
      <c r="C201" s="8"/>
      <c r="D201" s="1"/>
      <c r="E201" s="1"/>
    </row>
    <row r="202" spans="1:5" ht="28.5" customHeight="1" x14ac:dyDescent="0.2">
      <c r="A202" s="8">
        <f t="shared" si="14"/>
        <v>0</v>
      </c>
      <c r="B202" s="8"/>
      <c r="C202" s="8"/>
      <c r="D202" s="1"/>
      <c r="E202" s="1"/>
    </row>
    <row r="203" spans="1:5" ht="28.5" customHeight="1" x14ac:dyDescent="0.2">
      <c r="A203" s="8">
        <f t="shared" si="14"/>
        <v>0</v>
      </c>
      <c r="B203" s="8"/>
      <c r="C203" s="8"/>
      <c r="D203" s="1"/>
      <c r="E203" s="1"/>
    </row>
    <row r="204" spans="1:5" ht="28.5" customHeight="1" x14ac:dyDescent="0.2">
      <c r="A204" s="8">
        <f t="shared" si="14"/>
        <v>0</v>
      </c>
      <c r="B204" s="8"/>
      <c r="C204" s="8"/>
      <c r="D204" s="1"/>
      <c r="E204" s="1"/>
    </row>
    <row r="205" spans="1:5" ht="28.5" customHeight="1" x14ac:dyDescent="0.2">
      <c r="A205" s="8">
        <f t="shared" si="14"/>
        <v>0</v>
      </c>
      <c r="B205" s="8"/>
      <c r="C205" s="8"/>
      <c r="D205" s="1"/>
      <c r="E205" s="1"/>
    </row>
    <row r="206" spans="1:5" ht="28.5" customHeight="1" x14ac:dyDescent="0.2">
      <c r="A206" s="8">
        <f>A205+B206-C206</f>
        <v>0</v>
      </c>
      <c r="B206" s="8"/>
      <c r="C206" s="8"/>
      <c r="D206" s="1"/>
      <c r="E206" s="1"/>
    </row>
    <row r="207" spans="1:5" ht="28.5" customHeight="1" x14ac:dyDescent="0.2">
      <c r="A207" s="8">
        <f t="shared" ref="A207" si="15">A206+B207-C207</f>
        <v>0</v>
      </c>
      <c r="B207" s="8"/>
      <c r="C207" s="8"/>
      <c r="D207" s="1"/>
      <c r="E207" s="1"/>
    </row>
    <row r="208" spans="1:5" ht="28.5" customHeight="1" x14ac:dyDescent="0.2">
      <c r="A208" s="8">
        <f>A207+B208-C208</f>
        <v>0</v>
      </c>
      <c r="B208" s="8"/>
      <c r="C208" s="8"/>
      <c r="D208" s="1"/>
      <c r="E208" s="1"/>
    </row>
    <row r="209" spans="1:5" ht="28.5" customHeight="1" x14ac:dyDescent="0.2">
      <c r="A209" s="8">
        <f t="shared" ref="A209:A215" si="16">A208+B209-C209</f>
        <v>0</v>
      </c>
      <c r="B209" s="8"/>
      <c r="C209" s="8"/>
      <c r="D209" s="1"/>
      <c r="E209" s="1"/>
    </row>
    <row r="210" spans="1:5" ht="28.5" customHeight="1" x14ac:dyDescent="0.2">
      <c r="A210" s="8">
        <f t="shared" si="16"/>
        <v>0</v>
      </c>
      <c r="B210" s="8"/>
      <c r="C210" s="8"/>
      <c r="D210" s="1"/>
      <c r="E210" s="1"/>
    </row>
    <row r="211" spans="1:5" ht="28.5" customHeight="1" x14ac:dyDescent="0.2">
      <c r="A211" s="8">
        <f t="shared" si="16"/>
        <v>0</v>
      </c>
      <c r="B211" s="8"/>
      <c r="C211" s="8"/>
      <c r="D211" s="1"/>
      <c r="E211" s="1"/>
    </row>
    <row r="212" spans="1:5" ht="28.5" customHeight="1" x14ac:dyDescent="0.2">
      <c r="A212" s="8">
        <f t="shared" si="16"/>
        <v>0</v>
      </c>
      <c r="B212" s="8"/>
      <c r="C212" s="8"/>
      <c r="D212" s="1"/>
      <c r="E212" s="1"/>
    </row>
    <row r="213" spans="1:5" ht="28.5" customHeight="1" x14ac:dyDescent="0.2">
      <c r="A213" s="8">
        <f t="shared" si="16"/>
        <v>0</v>
      </c>
      <c r="B213" s="8"/>
      <c r="C213" s="8"/>
      <c r="D213" s="1"/>
      <c r="E213" s="1"/>
    </row>
    <row r="214" spans="1:5" ht="28.5" customHeight="1" x14ac:dyDescent="0.2">
      <c r="A214" s="8">
        <f t="shared" si="16"/>
        <v>0</v>
      </c>
      <c r="B214" s="8"/>
      <c r="C214" s="8"/>
      <c r="D214" s="1"/>
      <c r="E214" s="1"/>
    </row>
    <row r="215" spans="1:5" ht="28.5" customHeight="1" x14ac:dyDescent="0.2">
      <c r="A215" s="8">
        <f t="shared" si="16"/>
        <v>0</v>
      </c>
      <c r="B215" s="8"/>
      <c r="C215" s="8"/>
      <c r="D215" s="1"/>
      <c r="E215" s="1"/>
    </row>
    <row r="216" spans="1:5" ht="28.5" customHeight="1" x14ac:dyDescent="0.2">
      <c r="B216" s="9">
        <f>SUM(B196:B215)+B190</f>
        <v>10328000</v>
      </c>
      <c r="C216" s="9">
        <f>SUM(C196:C215)+C190</f>
        <v>10328000</v>
      </c>
    </row>
    <row r="217" spans="1:5" ht="28.5" customHeight="1" x14ac:dyDescent="0.2"/>
    <row r="218" spans="1:5" ht="28.5" customHeight="1" x14ac:dyDescent="0.35">
      <c r="B218" s="15">
        <f>A215</f>
        <v>0</v>
      </c>
      <c r="C218" s="17" t="s">
        <v>184</v>
      </c>
      <c r="D218" s="17"/>
    </row>
    <row r="219" spans="1:5" ht="28.5" customHeight="1" x14ac:dyDescent="0.2"/>
    <row r="220" spans="1:5" ht="28.5" customHeight="1" x14ac:dyDescent="0.2"/>
    <row r="221" spans="1:5" ht="28.5" customHeight="1" x14ac:dyDescent="0.2"/>
    <row r="222" spans="1:5" ht="28.5" customHeight="1" x14ac:dyDescent="0.2"/>
    <row r="223" spans="1:5" ht="28.5" customHeight="1" x14ac:dyDescent="0.2"/>
    <row r="224" spans="1:5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6">
    <mergeCell ref="C218:D218"/>
    <mergeCell ref="C85:D85"/>
    <mergeCell ref="C112:D112"/>
    <mergeCell ref="C138:D138"/>
    <mergeCell ref="C165:D165"/>
    <mergeCell ref="C192:D192"/>
  </mergeCells>
  <conditionalFormatting sqref="B11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3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65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9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18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2026-08-01T15:29:14Z</dcterms:modified>
</cp:coreProperties>
</file>