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5" i="1" l="1"/>
  <c r="B185" i="1"/>
  <c r="A165" i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B187" i="1" s="1"/>
  <c r="H2" i="1" s="1"/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<sst xmlns="http://schemas.openxmlformats.org/spreadsheetml/2006/main" count="318" uniqueCount="212">
  <si>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</si>
  <si>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</si>
  <si>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</si>
  <si>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</si>
  <si>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</si>
  <si>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</si>
  <si>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</si>
  <si>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</si>
  <si>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</si>
  <si>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</si>
  <si>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</si>
  <si>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</si>
  <si>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</si>
  <si>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</si>
  <si>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</si>
  <si>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</si>
  <si>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</si>
  <si>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</si>
  <si>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</si>
  <si>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</si>
  <si>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</si>
  <si>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</si>
  <si>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</si>
  <si>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</si>
  <si>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</si>
  <si>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</si>
  <si>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</si>
  <si>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</si>
  <si>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</si>
  <si>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</si>
  <si>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</si>
  <si>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</si>
  <si>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</si>
  <si>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</si>
  <si>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</si>
  <si>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</si>
  <si>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</si>
  <si>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</si>
  <si>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</si>
  <si>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</si>
  <si>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</si>
  <si>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</si>
  <si>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</si>
  <si>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</si>
  <si>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</si>
  <si>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</si>
  <si>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</si>
  <si>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</si>
  <si>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</si>
  <si>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</si>
  <si>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</si>
  <si>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</si>
  <si>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</si>
  <si>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</si>
  <si>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</si>
  <si>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</si>
  <si>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</si>
  <si>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</si>
  <si>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</si>
  <si>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</si>
  <si>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</si>
  <si>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</si>
  <si>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</si>
  <si>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</si>
  <si>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</si>
  <si>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</si>
  <si>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</si>
  <si>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</si>
  <si>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</si>
  <si>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</si>
  <si>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</si>
  <si>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</si>
  <si>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</si>
  <si>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</si>
  <si>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</si>
  <si>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</si>
  <si>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</si>
  <si>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</si>
  <si>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</si>
  <si>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</si>
  <si>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</si>
  <si>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</si>
  <si>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</si>
  <si>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</si>
  <si>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</si>
  <si>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</si>
  <si>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</si>
  <si>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</si>
  <si>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</si>
  <si>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</si>
  <si>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</si>
  <si>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</si>
  <si>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</si>
  <si>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</si>
  <si>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</si>
  <si>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</si>
  <si>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</si>
  <si>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</si>
  <si>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</si>
  <si>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</si>
  <si>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</si>
  <si>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</si>
  <si>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</si>
  <si>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</si>
  <si>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</si>
  <si>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</si>
  <si>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</si>
  <si>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</si>
  <si>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</si>
  <si>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</si>
  <si>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</si>
  <si>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</si>
  <si>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</si>
  <si>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</si>
  <si>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</si>
  <si>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</si>
  <si>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</si>
  <si>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</si>
  <si>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</si>
  <si>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</si>
  <si>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</si>
  <si>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</si>
  <si>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</si>
  <si>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</si>
  <si>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</si>
  <si>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</si>
  <si>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</si>
  <si>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</si>
  <si>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</si>
  <si>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</si>
  <si>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</si>
  <si>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</si>
  <si>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</si>
  <si>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</si>
  <si>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</si>
  <si>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</si>
  <si>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</si>
  <si>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</si>
  <si>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</si>
  <si>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</si>
  <si>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</si>
  <si>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</si>
  <si>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</si>
  <si>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</si>
  <si>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</si>
  <si>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</si>
  <si>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</si>
  <si>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</si>
  <si>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</si>
  <si>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</si>
  <si>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</si>
  <si>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</si>
  <si>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</si>
  <si>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</si>
  <si>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</si>
  <si>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</si>
  <si>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</si>
  <si>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</si>
  <si>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</si>
  <si>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</si>
  <si>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</si>
  <si>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</si>
  <si>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</si>
  <si>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</si>
  <si>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</si>
  <si>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</si>
  <si>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</si>
  <si>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</si>
  <si>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</si>
  <si>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</si>
  <si>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</si>
  <si>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</si>
  <si>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</si>
  <si>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</si>
  <si>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</si>
  <si>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</si>
  <si>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</si>
  <si>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</si>
  <si>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</si>
  <si>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</si>
  <si>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</si>
  <si>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</si>
  <si>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</si>
  <si>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</si>
  <si>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</si>
  <si>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</si>
  <si>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</si>
  <si>
    <t>مزه</t>
  </si>
  <si>
    <t xml:space="preserve">لواشک بستنی </t>
  </si>
  <si>
    <t>1405/04/19</t>
  </si>
  <si>
    <t>دنگ کیک رضا</t>
  </si>
  <si>
    <t>ساندویچ باغتون</t>
  </si>
  <si>
    <t>1405/05/02</t>
  </si>
  <si>
    <t>کوصشریات</t>
  </si>
  <si>
    <t>1405/05/30</t>
  </si>
  <si>
    <t>ابمیوه کیک چسپس</t>
  </si>
  <si>
    <t>1405/06/09</t>
  </si>
  <si>
    <t>مزه پل دوآب</t>
  </si>
  <si>
    <t>بستنی اسنک چیپلت</t>
  </si>
  <si>
    <t>1405/06/12</t>
  </si>
  <si>
    <t>بستنی ذغال</t>
  </si>
  <si>
    <t>1405/07/06</t>
  </si>
  <si>
    <t>مداد پاک کن</t>
  </si>
  <si>
    <t>آب</t>
  </si>
  <si>
    <t>1405/07/21</t>
  </si>
  <si>
    <t>تنباکو</t>
  </si>
  <si>
    <t>کمپوت ابمیو</t>
  </si>
  <si>
    <t>1405/07/23</t>
  </si>
  <si>
    <t>دنگ مزه پل دو آب</t>
  </si>
  <si>
    <t>1405/07/30</t>
  </si>
  <si>
    <t>پفک قهوه</t>
  </si>
  <si>
    <t>1405/08/05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</si>
</sst>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65" zoomScaleNormal="100" workbookViewId="0">
      <selection activeCell="C173" sqref="C17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B187</f>
        <v>1202500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210500</v>
      </c>
      <c r="B147" s="7">
        <v>217000</v>
      </c>
      <c r="C147" s="7"/>
      <c r="D147" s="7" t="s">
        <v>119</v>
      </c>
      <c r="E147" s="1" t="s">
        <v>186</v>
      </c>
    </row>
    <row r="148" spans="1:5" ht="28.5" customHeight="1" x14ac:dyDescent="0.2">
      <c r="A148" s="7">
        <f t="shared" si="7"/>
        <v>450500</v>
      </c>
      <c r="B148" s="7">
        <v>240000</v>
      </c>
      <c r="C148" s="7"/>
      <c r="D148" s="7" t="s">
        <v>187</v>
      </c>
      <c r="E148" s="1"/>
    </row>
    <row r="149" spans="1:5" ht="28.5" customHeight="1" x14ac:dyDescent="0.2">
      <c r="A149" s="7">
        <f t="shared" si="7"/>
        <v>485500</v>
      </c>
      <c r="B149" s="7">
        <v>35000</v>
      </c>
      <c r="C149" s="7"/>
      <c r="D149" s="7"/>
      <c r="E149" s="1"/>
    </row>
    <row r="150" spans="1:5" ht="28.5" customHeight="1" x14ac:dyDescent="0.2">
      <c r="A150" s="7">
        <f t="shared" si="7"/>
        <v>5500</v>
      </c>
      <c r="B150" s="7"/>
      <c r="C150" s="7">
        <v>480000</v>
      </c>
      <c r="D150" s="7" t="s">
        <v>12</v>
      </c>
      <c r="E150" s="1"/>
    </row>
    <row r="151" spans="1:5" ht="28.5" customHeight="1" x14ac:dyDescent="0.2">
      <c r="A151" s="7">
        <f t="shared" si="7"/>
        <v>235500</v>
      </c>
      <c r="B151" s="7">
        <v>230000</v>
      </c>
      <c r="C151" s="7"/>
      <c r="D151" s="7" t="s">
        <v>188</v>
      </c>
      <c r="E151" s="1"/>
    </row>
    <row r="152" spans="1:5" ht="28.5" customHeight="1" x14ac:dyDescent="0.2">
      <c r="A152" s="7">
        <f t="shared" si="7"/>
        <v>35500</v>
      </c>
      <c r="B152" s="7"/>
      <c r="C152" s="7">
        <v>200000</v>
      </c>
      <c r="D152" s="7" t="s">
        <v>12</v>
      </c>
      <c r="E152" s="1"/>
    </row>
    <row r="153" spans="1:5" ht="28.5" customHeight="1" x14ac:dyDescent="0.2">
      <c r="A153" s="7">
        <f t="shared" si="7"/>
        <v>120500</v>
      </c>
      <c r="B153" s="7">
        <v>85000</v>
      </c>
      <c r="C153" s="7"/>
      <c r="D153" s="7" t="s">
        <v>190</v>
      </c>
      <c r="E153" s="1" t="s">
        <v>189</v>
      </c>
    </row>
    <row r="154" spans="1:5" ht="28.5" customHeight="1" x14ac:dyDescent="0.2">
      <c r="A154" s="7">
        <f t="shared" si="7"/>
        <v>266500</v>
      </c>
      <c r="B154" s="7">
        <v>146000</v>
      </c>
      <c r="C154" s="7"/>
      <c r="D154" s="7" t="s">
        <v>191</v>
      </c>
      <c r="E154" s="1"/>
    </row>
    <row r="155" spans="1:5" ht="28.5" customHeight="1" x14ac:dyDescent="0.2">
      <c r="A155" s="7">
        <f t="shared" si="7"/>
        <v>646500</v>
      </c>
      <c r="B155" s="7">
        <v>380000</v>
      </c>
      <c r="C155" s="7"/>
      <c r="D155" s="7" t="s">
        <v>193</v>
      </c>
      <c r="E155" s="1" t="s">
        <v>192</v>
      </c>
    </row>
    <row r="156" spans="1:5" ht="28.5" customHeight="1" x14ac:dyDescent="0.2">
      <c r="A156" s="7">
        <f t="shared" si="7"/>
        <v>866500</v>
      </c>
      <c r="B156" s="7">
        <v>220000</v>
      </c>
      <c r="C156" s="7"/>
      <c r="D156" s="7" t="s">
        <v>195</v>
      </c>
      <c r="E156" s="1" t="s">
        <v>194</v>
      </c>
    </row>
    <row r="157" spans="1:5" ht="28.5" customHeight="1" x14ac:dyDescent="0.2">
      <c r="A157" s="7">
        <f t="shared" si="7"/>
        <v>1036500</v>
      </c>
      <c r="B157" s="7">
        <v>170000</v>
      </c>
      <c r="C157" s="7"/>
      <c r="D157" s="7" t="s">
        <v>197</v>
      </c>
      <c r="E157" s="1" t="s">
        <v>196</v>
      </c>
    </row>
    <row r="158" spans="1:5" ht="28.5" customHeight="1" x14ac:dyDescent="0.2">
      <c r="A158" s="7">
        <f t="shared" si="7"/>
        <v>1321500</v>
      </c>
      <c r="B158" s="7">
        <v>285000</v>
      </c>
      <c r="C158" s="7"/>
      <c r="D158" s="7" t="s">
        <v>198</v>
      </c>
      <c r="E158" s="1"/>
    </row>
    <row r="159" spans="1:5" ht="28.5" customHeight="1" x14ac:dyDescent="0.2">
      <c r="A159" s="8"/>
      <c r="B159" s="8">
        <f>SUM(B139:B158)+B133</f>
        <v>13736500</v>
      </c>
      <c r="C159" s="8">
        <f>SUM(C139:C158)+C133</f>
        <v>12415000</v>
      </c>
      <c r="D159" s="8"/>
    </row>
    <row r="160" spans="1:5" ht="28.5" customHeight="1" x14ac:dyDescent="0.2"/>
    <row r="161" spans="1:5" ht="28.5" customHeight="1" x14ac:dyDescent="0.35">
      <c r="B161" s="11">
        <f>A158</f>
        <v>1321500</v>
      </c>
      <c r="C161" s="14" t="s">
        <v>183</v>
      </c>
      <c r="D161" s="14"/>
    </row>
    <row r="162" spans="1:5" ht="28.5" customHeight="1" x14ac:dyDescent="0.25">
      <c r="B162" s="13" t="s">
        <v>77</v>
      </c>
      <c r="D162" s="13" t="s">
        <v>76</v>
      </c>
    </row>
    <row r="163" spans="1:5" ht="28.5" customHeight="1" x14ac:dyDescent="0.3">
      <c r="A163" t="s">
        <v>9</v>
      </c>
      <c r="B163" s="2" t="s">
        <v>0</v>
      </c>
      <c r="C163" s="2"/>
    </row>
    <row r="164" spans="1:5" ht="28.5" customHeight="1" x14ac:dyDescent="0.4">
      <c r="A164" s="3" t="s">
        <v>18</v>
      </c>
      <c r="B164" s="6" t="s">
        <v>3</v>
      </c>
      <c r="C164" s="4" t="s">
        <v>1</v>
      </c>
      <c r="D164" s="4" t="s">
        <v>2</v>
      </c>
      <c r="E164" s="4" t="s">
        <v>6</v>
      </c>
    </row>
    <row r="165" spans="1:5" ht="28.5" customHeight="1" x14ac:dyDescent="0.2">
      <c r="A165" s="7">
        <f>B161+B165-C165</f>
        <v>1468500</v>
      </c>
      <c r="B165" s="7">
        <v>147000</v>
      </c>
      <c r="C165" s="7"/>
      <c r="D165" s="7" t="s">
        <v>200</v>
      </c>
      <c r="E165" s="1" t="s">
        <v>199</v>
      </c>
    </row>
    <row r="166" spans="1:5" ht="28.5" customHeight="1" x14ac:dyDescent="0.2">
      <c r="A166" s="7">
        <f>A165+B166-C166</f>
        <v>1538500</v>
      </c>
      <c r="B166" s="7">
        <v>70000</v>
      </c>
      <c r="C166" s="7"/>
      <c r="D166" s="7" t="s">
        <v>202</v>
      </c>
      <c r="E166" s="1" t="s">
        <v>201</v>
      </c>
    </row>
    <row r="167" spans="1:5" ht="28.5" customHeight="1" x14ac:dyDescent="0.2">
      <c r="A167" s="7">
        <f>A166+B167-C167</f>
        <v>1583500</v>
      </c>
      <c r="B167" s="7">
        <v>45000</v>
      </c>
      <c r="C167" s="7"/>
      <c r="D167" s="7" t="s">
        <v>203</v>
      </c>
      <c r="E167" s="1"/>
    </row>
    <row r="168" spans="1:5" ht="28.5" customHeight="1" x14ac:dyDescent="0.2">
      <c r="A168" s="7">
        <f>A167+B168-C168</f>
        <v>1833500</v>
      </c>
      <c r="B168" s="7">
        <v>250000</v>
      </c>
      <c r="C168" s="7"/>
      <c r="D168" s="7" t="s">
        <v>205</v>
      </c>
      <c r="E168" s="1" t="s">
        <v>204</v>
      </c>
    </row>
    <row r="169" spans="1:5" ht="28.5" customHeight="1" x14ac:dyDescent="0.2">
      <c r="A169" s="7">
        <f>A168+B169-C169</f>
        <v>2363500</v>
      </c>
      <c r="B169" s="7">
        <v>530000</v>
      </c>
      <c r="C169" s="7"/>
      <c r="D169" s="7" t="s">
        <v>206</v>
      </c>
      <c r="E169" s="1"/>
    </row>
    <row r="170" spans="1:5" ht="28.5" customHeight="1" x14ac:dyDescent="0.2">
      <c r="A170" s="7">
        <f t="shared" ref="A170" si="8">A169+B170-C170</f>
        <v>2552500</v>
      </c>
      <c r="B170" s="7">
        <v>189000</v>
      </c>
      <c r="C170" s="7"/>
      <c r="D170" s="7" t="s">
        <v>208</v>
      </c>
      <c r="E170" s="1" t="s">
        <v>207</v>
      </c>
    </row>
    <row r="171" spans="1:5" ht="28.5" customHeight="1" x14ac:dyDescent="0.2">
      <c r="A171" s="7">
        <f>A170+B171-C171</f>
        <v>2702500</v>
      </c>
      <c r="B171" s="7">
        <v>150000</v>
      </c>
      <c r="C171" s="7"/>
      <c r="D171" s="7" t="s">
        <v>210</v>
      </c>
      <c r="E171" s="1" t="s">
        <v>209</v>
      </c>
    </row>
    <row r="172" spans="1:5" ht="28.5" customHeight="1" x14ac:dyDescent="0.2">
      <c r="A172" s="7">
        <f t="shared" ref="A172:A184" si="9">A171+B172-C172</f>
        <v>1202500</v>
      </c>
      <c r="B172" s="7"/>
      <c r="C172" s="7">
        <v>1500000</v>
      </c>
      <c r="D172" s="7" t="s">
        <v>12</v>
      </c>
      <c r="E172" s="1" t="s">
        <v>211</v>
      </c>
    </row>
    <row r="173" spans="1:5" ht="28.5" customHeight="1" x14ac:dyDescent="0.2">
      <c r="A173" s="7">
        <f t="shared" si="9"/>
        <v>1202500</v>
      </c>
      <c r="B173" s="7"/>
      <c r="C173" s="7"/>
      <c r="D173" s="7"/>
      <c r="E173" s="1"/>
    </row>
    <row r="174" spans="1:5" ht="28.5" customHeight="1" x14ac:dyDescent="0.2">
      <c r="A174" s="7">
        <f t="shared" si="9"/>
        <v>1202500</v>
      </c>
      <c r="B174" s="7"/>
      <c r="C174" s="7"/>
      <c r="D174" s="7"/>
      <c r="E174" s="1"/>
    </row>
    <row r="175" spans="1:5" ht="28.5" customHeight="1" x14ac:dyDescent="0.2">
      <c r="A175" s="7">
        <f t="shared" si="9"/>
        <v>1202500</v>
      </c>
      <c r="B175" s="7"/>
      <c r="C175" s="7"/>
      <c r="D175" s="7"/>
      <c r="E175" s="1"/>
    </row>
    <row r="176" spans="1:5" ht="28.5" customHeight="1" x14ac:dyDescent="0.2">
      <c r="A176" s="7">
        <f t="shared" si="9"/>
        <v>1202500</v>
      </c>
      <c r="B176" s="7"/>
      <c r="C176" s="7"/>
      <c r="D176" s="7"/>
      <c r="E176" s="1"/>
    </row>
    <row r="177" spans="1:5" ht="28.5" customHeight="1" x14ac:dyDescent="0.2">
      <c r="A177" s="7">
        <f t="shared" si="9"/>
        <v>1202500</v>
      </c>
      <c r="B177" s="7"/>
      <c r="C177" s="7"/>
      <c r="D177" s="7"/>
      <c r="E177" s="1"/>
    </row>
    <row r="178" spans="1:5" ht="28.5" customHeight="1" x14ac:dyDescent="0.2">
      <c r="A178" s="7">
        <f t="shared" si="9"/>
        <v>1202500</v>
      </c>
      <c r="B178" s="7"/>
      <c r="C178" s="7"/>
      <c r="D178" s="7"/>
      <c r="E178" s="1"/>
    </row>
    <row r="179" spans="1:5" ht="28.5" customHeight="1" x14ac:dyDescent="0.2">
      <c r="A179" s="7">
        <f t="shared" si="9"/>
        <v>1202500</v>
      </c>
      <c r="B179" s="7"/>
      <c r="C179" s="7"/>
      <c r="D179" s="7"/>
      <c r="E179" s="1"/>
    </row>
    <row r="180" spans="1:5" ht="28.5" customHeight="1" x14ac:dyDescent="0.2">
      <c r="A180" s="7">
        <f t="shared" si="9"/>
        <v>1202500</v>
      </c>
      <c r="B180" s="7"/>
      <c r="C180" s="7"/>
      <c r="D180" s="7"/>
      <c r="E180" s="1"/>
    </row>
    <row r="181" spans="1:5" ht="28.5" customHeight="1" x14ac:dyDescent="0.2">
      <c r="A181" s="7">
        <f t="shared" si="9"/>
        <v>1202500</v>
      </c>
      <c r="B181" s="7"/>
      <c r="C181" s="7"/>
      <c r="D181" s="7"/>
      <c r="E181" s="1"/>
    </row>
    <row r="182" spans="1:5" ht="28.5" customHeight="1" x14ac:dyDescent="0.2">
      <c r="A182" s="7">
        <f t="shared" si="9"/>
        <v>1202500</v>
      </c>
      <c r="B182" s="7"/>
      <c r="C182" s="7"/>
      <c r="D182" s="7"/>
      <c r="E182" s="1"/>
    </row>
    <row r="183" spans="1:5" ht="28.5" customHeight="1" x14ac:dyDescent="0.2">
      <c r="A183" s="7">
        <f t="shared" si="9"/>
        <v>1202500</v>
      </c>
      <c r="B183" s="7"/>
      <c r="C183" s="7"/>
      <c r="D183" s="7"/>
      <c r="E183" s="1"/>
    </row>
    <row r="184" spans="1:5" ht="28.5" customHeight="1" x14ac:dyDescent="0.2">
      <c r="A184" s="7">
        <f t="shared" si="9"/>
        <v>1202500</v>
      </c>
      <c r="B184" s="7"/>
      <c r="C184" s="7"/>
      <c r="D184" s="7"/>
      <c r="E184" s="1"/>
    </row>
    <row r="185" spans="1:5" ht="28.5" customHeight="1" x14ac:dyDescent="0.2">
      <c r="A185" s="8"/>
      <c r="B185" s="8">
        <f>SUM(B165:B184)+B159</f>
        <v>15117500</v>
      </c>
      <c r="C185" s="8">
        <f>SUM(C165:C184)+C159</f>
        <v>13915000</v>
      </c>
      <c r="D185" s="8"/>
    </row>
    <row r="186" spans="1:5" ht="28.5" customHeight="1" x14ac:dyDescent="0.2"/>
    <row r="187" spans="1:5" ht="28.5" customHeight="1" x14ac:dyDescent="0.35">
      <c r="B187" s="11">
        <f>A184</f>
        <v>1202500</v>
      </c>
      <c r="C187" s="14" t="s">
        <v>183</v>
      </c>
      <c r="D187" s="14"/>
    </row>
    <row r="188" spans="1:5" ht="28.5" customHeight="1" x14ac:dyDescent="0.25">
      <c r="B188" s="13" t="s">
        <v>77</v>
      </c>
      <c r="D188" s="13" t="s">
        <v>76</v>
      </c>
    </row>
    <row r="189" spans="1:5" ht="28.5" customHeight="1" x14ac:dyDescent="0.2"/>
    <row r="190" spans="1:5" ht="28.5" customHeight="1" x14ac:dyDescent="0.2"/>
    <row r="191" spans="1:5" ht="28.5" customHeight="1" x14ac:dyDescent="0.2"/>
    <row r="192" spans="1:5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5">
    <mergeCell ref="C82:D82"/>
    <mergeCell ref="C109:D109"/>
    <mergeCell ref="C135:D135"/>
    <mergeCell ref="C161:D161"/>
    <mergeCell ref="C187:D187"/>
  </mergeCells>
  <conditionalFormatting sqref="B109">
    <cfRule type="cellIs" dxfId="11" priority="12" operator="lessThan">
      <formula>0</formula>
    </cfRule>
    <cfRule type="cellIs" dxfId="10" priority="11" operator="greaterThan">
      <formula>0</formula>
    </cfRule>
    <cfRule type="cellIs" dxfId="9" priority="10" operator="lessThanOrEqual">
      <formula>0</formula>
    </cfRule>
  </conditionalFormatting>
  <conditionalFormatting sqref="B135">
    <cfRule type="cellIs" dxfId="8" priority="9" operator="lessThanOrEqual">
      <formula>0</formula>
    </cfRule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B161">
    <cfRule type="cellIs" dxfId="5" priority="4" operator="greaterThan">
      <formula>0</formula>
    </cfRule>
    <cfRule type="cellIs" dxfId="4" priority="5" operator="lessThanOrEqual">
      <formula>0</formula>
    </cfRule>
    <cfRule type="cellIs" dxfId="3" priority="6" operator="lessThanOrEqual">
      <formula>0</formula>
    </cfRule>
  </conditionalFormatting>
  <conditionalFormatting sqref="B187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2026-10-27T15:13:29Z</dcterms:modified>
</cp:coreProperties>
</file>