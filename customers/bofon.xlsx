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5" i="1" l="1"/>
  <c r="B165" i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B167" i="1" s="1"/>
  <c r="H2" i="1" s="1"/>
  <c r="C139" i="1" l="1"/>
  <c r="B139" i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B141" i="1" s="1"/>
  <c r="C113" i="1" l="1"/>
  <c r="B113" i="1"/>
  <c r="A94" i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B115" i="1" s="1"/>
  <c r="A93" i="1"/>
  <c r="B87" i="1" l="1"/>
  <c r="A41" i="1" l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B63" i="1" l="1"/>
  <c r="A67" i="1" l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B89" i="1" s="1"/>
  <c r="B16" i="1"/>
  <c r="B35" i="1" s="1"/>
  <c r="B61" i="1" s="1"/>
  <c r="C16" i="1" l="1"/>
  <c r="C35" i="1" s="1"/>
  <c r="C61" i="1" s="1"/>
  <c r="C87" i="1" s="1"/>
</calcChain>
</file>

<file path=xl/sharedStrings.xml><?xml version="1.0" encoding="utf-8"?>
<sst xmlns="http://schemas.openxmlformats.org/spreadsheetml/2006/main" count="294" uniqueCount="202">
  <si>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</si>
  <si>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</si>
  <si>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</si>
  <si>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</si>
  <si>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</si>
  <si>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</si>
  <si>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</si>
  <si>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</si>
  <si>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سند افتتاحیه مانده از قبل</t>
  </si>
  <si>
    <t>1404/01/25</t>
  </si>
  <si>
    <t xml:space="preserve">دلستر سیگار </t>
  </si>
  <si>
    <t>وجه های داده شده از قبل</t>
  </si>
  <si>
    <t>احتساب اخرین فاکتور :</t>
  </si>
  <si>
    <t xml:space="preserve">    بدهی کل با </t>
  </si>
  <si>
    <t>1404/01/28</t>
  </si>
  <si>
    <t>سیگار  سرخاکی</t>
  </si>
  <si>
    <t>رانی کیک</t>
  </si>
  <si>
    <t>مد مدی</t>
  </si>
  <si>
    <t>1404/01/31</t>
  </si>
  <si>
    <t xml:space="preserve">وجه  </t>
  </si>
  <si>
    <t>1404/02/04</t>
  </si>
  <si>
    <t xml:space="preserve">قهوه ابمیوه </t>
  </si>
  <si>
    <t>بادام</t>
  </si>
  <si>
    <t xml:space="preserve">اب البالو پفک </t>
  </si>
  <si>
    <t>1404/02/05</t>
  </si>
  <si>
    <t>ابمیوه سیگار کیک</t>
  </si>
  <si>
    <t>وجه</t>
  </si>
  <si>
    <t>1404/02/11</t>
  </si>
  <si>
    <t>سیگار کیک فندک</t>
  </si>
  <si>
    <t>1404/02/17</t>
  </si>
  <si>
    <t xml:space="preserve">تخم مرغ عدس لسپرسو سیگار </t>
  </si>
  <si>
    <t>1404/02/19</t>
  </si>
  <si>
    <t>دنگ پل دواب</t>
  </si>
  <si>
    <t>1404/02/22</t>
  </si>
  <si>
    <t>پول نقد</t>
  </si>
  <si>
    <t>1404/02/25</t>
  </si>
  <si>
    <t>سیگار قهوه  اسپرسو</t>
  </si>
  <si>
    <t>1404/02/28</t>
  </si>
  <si>
    <t>تخم مرغ</t>
  </si>
  <si>
    <t>1404/02/31</t>
  </si>
  <si>
    <t xml:space="preserve">وجه </t>
  </si>
  <si>
    <t>1404/03/06</t>
  </si>
  <si>
    <t>تن ماهی اسپرسو</t>
  </si>
  <si>
    <t>1404/03/14</t>
  </si>
  <si>
    <t>تن ماهی قهوه</t>
  </si>
  <si>
    <t>1404/03/16</t>
  </si>
  <si>
    <t xml:space="preserve">تخم مرغ تن ماهی کیک </t>
  </si>
  <si>
    <t>1404/03/.20</t>
  </si>
  <si>
    <t>شارژ</t>
  </si>
  <si>
    <t>1404/03/30</t>
  </si>
  <si>
    <t>سیگار ابمیوه کیک</t>
  </si>
  <si>
    <t>1404/04/19</t>
  </si>
  <si>
    <t>1404/04/25</t>
  </si>
  <si>
    <t xml:space="preserve">دلستر کیک </t>
  </si>
  <si>
    <t>1404/05/28</t>
  </si>
  <si>
    <t>دمگ عرق خونه حاج علی</t>
  </si>
  <si>
    <t>جمع کل بدهی با احتساب آخرین فاکتور</t>
  </si>
  <si>
    <t>با تشکر از خرید شما</t>
  </si>
  <si>
    <t>مواد غذایی رحمتی</t>
  </si>
  <si>
    <t>1404/06/08</t>
  </si>
  <si>
    <t>الباقی شکلات قهوه</t>
  </si>
  <si>
    <t>1404/06/11</t>
  </si>
  <si>
    <t>1404/06/17</t>
  </si>
  <si>
    <t>دلستر</t>
  </si>
  <si>
    <t>1404/06/25</t>
  </si>
  <si>
    <t>دلستر کیک</t>
  </si>
  <si>
    <t>1404/06/28</t>
  </si>
  <si>
    <t>دنگ مزه</t>
  </si>
  <si>
    <t>1404/07/02</t>
  </si>
  <si>
    <t>الباقی دلستر کیک</t>
  </si>
  <si>
    <t>1404/09/01</t>
  </si>
  <si>
    <t>1404/09/04</t>
  </si>
  <si>
    <t>1404/07/07</t>
  </si>
  <si>
    <t>1404/09/11</t>
  </si>
  <si>
    <t>روغن بستنی دلستر نوتلا</t>
  </si>
  <si>
    <t>پفک</t>
  </si>
  <si>
    <t>1404/09/13</t>
  </si>
  <si>
    <t xml:space="preserve">سیگار پفک </t>
  </si>
  <si>
    <t>1404/09/18</t>
  </si>
  <si>
    <t>وجچه</t>
  </si>
  <si>
    <t>1404/09/21</t>
  </si>
  <si>
    <t>الباقی چایی پنیر و نون پیتزا</t>
  </si>
  <si>
    <t>1404/09/28</t>
  </si>
  <si>
    <t>قهوه دلستر</t>
  </si>
  <si>
    <t>1404/10/03</t>
  </si>
  <si>
    <t>قهوه عسل تن ماهی</t>
  </si>
  <si>
    <t>1404/10/04</t>
  </si>
  <si>
    <t>ساقه طلایی قهوه کیک</t>
  </si>
  <si>
    <t>1404/10/11</t>
  </si>
  <si>
    <t>چیپس پفک ابلیمو</t>
  </si>
  <si>
    <t>1404/10/14</t>
  </si>
  <si>
    <t>پول پرفته</t>
  </si>
  <si>
    <t>1404/10/15</t>
  </si>
  <si>
    <t>1404/10/18</t>
  </si>
  <si>
    <t>اب البالو ماست پفک</t>
  </si>
  <si>
    <t>1404/10/22</t>
  </si>
  <si>
    <t>1404/10/24</t>
  </si>
  <si>
    <t>اسپرسو دلستر</t>
  </si>
  <si>
    <t>1404/10/25</t>
  </si>
  <si>
    <t>ذرت</t>
  </si>
  <si>
    <t>1404/10/26</t>
  </si>
  <si>
    <t>نوشابه کیک</t>
  </si>
  <si>
    <t>1404/10/28</t>
  </si>
  <si>
    <t>1404/11/04</t>
  </si>
  <si>
    <t xml:space="preserve">قهوه کیک </t>
  </si>
  <si>
    <t>1404/11/08</t>
  </si>
  <si>
    <t>زیتون کیک ابمیوه</t>
  </si>
  <si>
    <t>1404/11/09</t>
  </si>
  <si>
    <t>پول</t>
  </si>
  <si>
    <t>1404/11/10</t>
  </si>
  <si>
    <t>سیگار کیک</t>
  </si>
  <si>
    <t>1404/11/15</t>
  </si>
  <si>
    <t>1404/11/17</t>
  </si>
  <si>
    <t>تخم مرغ خیارشور</t>
  </si>
  <si>
    <t>1404/11/19</t>
  </si>
  <si>
    <t xml:space="preserve">قهوه  </t>
  </si>
  <si>
    <t>1404/11/23</t>
  </si>
  <si>
    <t>کیک سیگار</t>
  </si>
  <si>
    <t>1404/11/24</t>
  </si>
  <si>
    <t>1404/12/01</t>
  </si>
  <si>
    <t>بستنی مزه</t>
  </si>
  <si>
    <t xml:space="preserve">دنگ سوسیس </t>
  </si>
  <si>
    <t>1404/12/07</t>
  </si>
  <si>
    <t>بادام زمینی</t>
  </si>
  <si>
    <t>1404/12/08</t>
  </si>
  <si>
    <t>دنگ اندویچ</t>
  </si>
  <si>
    <t>1404/12/15</t>
  </si>
  <si>
    <t>ساقع طلایی</t>
  </si>
  <si>
    <t>1404/12/22</t>
  </si>
  <si>
    <t>دنگ ساندویچ</t>
  </si>
  <si>
    <t>1404/12/23</t>
  </si>
  <si>
    <t>ساقه طلایی آبمیوه</t>
  </si>
  <si>
    <t>1404/12/25</t>
  </si>
  <si>
    <t>1404/12/29</t>
  </si>
  <si>
    <t>1405/01/01</t>
  </si>
  <si>
    <t>کرانچی بیسکوییت</t>
  </si>
  <si>
    <t>1405/01/02</t>
  </si>
  <si>
    <t>کیک ابمیوه</t>
  </si>
  <si>
    <t>1405/01/03</t>
  </si>
  <si>
    <t>بیسکوییت نوشابه</t>
  </si>
  <si>
    <t>ساندویچ خونه حاج علی</t>
  </si>
  <si>
    <t>1405/01/04</t>
  </si>
  <si>
    <t>ساندویچ خونه مش نعمت</t>
  </si>
  <si>
    <t>1405/01/05</t>
  </si>
  <si>
    <t>آدامس سیگار</t>
  </si>
  <si>
    <t>1405/01/06</t>
  </si>
  <si>
    <t>دنگ پل دوتب</t>
  </si>
  <si>
    <t>1405/01/12</t>
  </si>
  <si>
    <t>1405/01/14</t>
  </si>
  <si>
    <t>دستکش</t>
  </si>
  <si>
    <t>1405/01/24</t>
  </si>
  <si>
    <t>مربا</t>
  </si>
  <si>
    <t>1405/01/26</t>
  </si>
  <si>
    <t xml:space="preserve">آدامس   </t>
  </si>
  <si>
    <t>140/02/04</t>
  </si>
  <si>
    <t>1405/03/01</t>
  </si>
  <si>
    <t xml:space="preserve">بستنی </t>
  </si>
  <si>
    <t>1405/03/05</t>
  </si>
  <si>
    <t>1405/03/07</t>
  </si>
  <si>
    <t>کیک بستنی دلستر پفک</t>
  </si>
  <si>
    <t>1405/03/11</t>
  </si>
  <si>
    <t>1405/03/15</t>
  </si>
  <si>
    <t>تخم مرغ شیر</t>
  </si>
  <si>
    <t>1405/03/19</t>
  </si>
  <si>
    <t>تخم مرغ تن ماهی</t>
  </si>
  <si>
    <t>1405/03/30</t>
  </si>
  <si>
    <t>ان و گو</t>
  </si>
  <si>
    <t xml:space="preserve"> ان و گو</t>
  </si>
  <si>
    <t>1405/04/02</t>
  </si>
  <si>
    <t>تخمه سیگار</t>
  </si>
  <si>
    <t>1405/04/04</t>
  </si>
  <si>
    <t>سیگار نوشابه</t>
  </si>
  <si>
    <t>جمع کل حساب با احتساب آخرین فاکتور :</t>
  </si>
  <si>
    <t>1405/04/11</t>
  </si>
  <si>
    <t>مغز بادام کیک رانی</t>
  </si>
  <si>
    <t>1405/04/22</t>
  </si>
  <si>
    <t>قهوه پروتئین شیر</t>
  </si>
  <si>
    <t>1405/04/25</t>
  </si>
  <si>
    <t>لیموناد کیک داجستیو</t>
  </si>
  <si>
    <t>1405/04/27</t>
  </si>
  <si>
    <t>1405/05/10</t>
  </si>
  <si>
    <t>1405/05/17</t>
  </si>
  <si>
    <t xml:space="preserve">پول </t>
  </si>
  <si>
    <t>1405/05/18</t>
  </si>
  <si>
    <t>1405/05/30</t>
  </si>
  <si>
    <t>کیکدلستر سیگار نخی</t>
  </si>
  <si>
    <t>1405/06/05</t>
  </si>
  <si>
    <t>بستنی لیموناد</t>
  </si>
  <si>
    <t>1405/06/06</t>
  </si>
  <si>
    <t>الباقی سیگار پفک</t>
  </si>
  <si>
    <t>1405/06/07</t>
  </si>
  <si>
    <t>دنگ سوسیس خونه یاسین</t>
  </si>
  <si>
    <t>1405/06/24</t>
  </si>
  <si>
    <t>1405/06/25</t>
  </si>
  <si>
    <t>سیگار</t>
  </si>
  <si>
    <t>1405/06/27</t>
  </si>
  <si>
    <t>وجه عرق</t>
  </si>
  <si>
    <t>1405/07/02</t>
  </si>
  <si>
    <t>بستنی کیک</t>
  </si>
  <si>
    <t>1405/07/23</t>
  </si>
  <si>
    <t>بستنی</t>
  </si>
  <si>
    <t>1405/07/28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</si>
</sst>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3" fontId="1" fillId="0" borderId="0" xfId="0" applyNumberFormat="1" applyFont="1" applyFill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"/>
  <sheetViews>
    <sheetView tabSelected="1" topLeftCell="A144" zoomScaleNormal="100" workbookViewId="0">
      <selection activeCell="B155" sqref="B155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17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9">
        <f>B167</f>
        <v>3492600</v>
      </c>
    </row>
    <row r="3" spans="1:8" ht="42.75" customHeight="1" x14ac:dyDescent="0.2">
      <c r="A3" s="8">
        <f xml:space="preserve"> B3</f>
        <v>1699000</v>
      </c>
      <c r="B3" s="8">
        <v>1699000</v>
      </c>
      <c r="C3" s="8"/>
      <c r="D3" s="1" t="s">
        <v>8</v>
      </c>
      <c r="E3" s="1"/>
    </row>
    <row r="4" spans="1:8" ht="43.5" customHeight="1" x14ac:dyDescent="0.2">
      <c r="A4" s="8">
        <f xml:space="preserve"> A3 +B4-C4</f>
        <v>1774000</v>
      </c>
      <c r="B4" s="8">
        <v>75000</v>
      </c>
      <c r="C4" s="8"/>
      <c r="D4" s="1" t="s">
        <v>10</v>
      </c>
      <c r="E4" s="7" t="s">
        <v>9</v>
      </c>
    </row>
    <row r="5" spans="1:8" ht="43.5" customHeight="1" x14ac:dyDescent="0.2">
      <c r="A5" s="8">
        <f t="shared" ref="A5:A15" si="0" xml:space="preserve"> A4 +B5-C5</f>
        <v>1193000</v>
      </c>
      <c r="B5" s="8"/>
      <c r="C5" s="8">
        <v>581000</v>
      </c>
      <c r="D5" s="1" t="s">
        <v>11</v>
      </c>
      <c r="E5" s="1"/>
    </row>
    <row r="6" spans="1:8" ht="42.75" customHeight="1" x14ac:dyDescent="0.2">
      <c r="A6" s="8">
        <f t="shared" si="0"/>
        <v>1293000</v>
      </c>
      <c r="B6" s="8">
        <v>100000</v>
      </c>
      <c r="C6" s="8"/>
      <c r="D6" s="1" t="s">
        <v>15</v>
      </c>
      <c r="E6" s="1" t="s">
        <v>14</v>
      </c>
    </row>
    <row r="7" spans="1:8" ht="43.5" customHeight="1" x14ac:dyDescent="0.2">
      <c r="A7" s="8">
        <f t="shared" si="0"/>
        <v>1346000</v>
      </c>
      <c r="B7" s="8">
        <v>53000</v>
      </c>
      <c r="C7" s="8"/>
      <c r="D7" s="1" t="s">
        <v>16</v>
      </c>
      <c r="E7" s="1" t="s">
        <v>14</v>
      </c>
    </row>
    <row r="8" spans="1:8" ht="42.75" customHeight="1" x14ac:dyDescent="0.2">
      <c r="A8" s="8">
        <f t="shared" si="0"/>
        <v>646000</v>
      </c>
      <c r="B8" s="8"/>
      <c r="C8" s="8">
        <v>700000</v>
      </c>
      <c r="D8" s="1" t="s">
        <v>19</v>
      </c>
      <c r="E8" s="1" t="s">
        <v>18</v>
      </c>
    </row>
    <row r="9" spans="1:8" ht="43.5" customHeight="1" x14ac:dyDescent="0.2">
      <c r="A9" s="8">
        <f t="shared" si="0"/>
        <v>721000</v>
      </c>
      <c r="B9" s="8">
        <v>75000</v>
      </c>
      <c r="C9" s="8"/>
      <c r="D9" s="1" t="s">
        <v>21</v>
      </c>
      <c r="E9" s="1" t="s">
        <v>20</v>
      </c>
    </row>
    <row r="10" spans="1:8" ht="43.5" customHeight="1" x14ac:dyDescent="0.2">
      <c r="A10" s="8">
        <f t="shared" si="0"/>
        <v>731000</v>
      </c>
      <c r="B10" s="8">
        <v>10000</v>
      </c>
      <c r="C10" s="8"/>
      <c r="D10" s="1" t="s">
        <v>22</v>
      </c>
      <c r="E10" s="1" t="s">
        <v>20</v>
      </c>
    </row>
    <row r="11" spans="1:8" ht="42.75" customHeight="1" x14ac:dyDescent="0.2">
      <c r="A11" s="8">
        <f t="shared" si="0"/>
        <v>806000</v>
      </c>
      <c r="B11" s="8">
        <v>75000</v>
      </c>
      <c r="C11" s="8"/>
      <c r="D11" s="1" t="s">
        <v>23</v>
      </c>
      <c r="E11" s="1" t="s">
        <v>20</v>
      </c>
    </row>
    <row r="12" spans="1:8" ht="42" customHeight="1" x14ac:dyDescent="0.2">
      <c r="A12" s="8">
        <f t="shared" si="0"/>
        <v>906000</v>
      </c>
      <c r="B12" s="8">
        <v>100000</v>
      </c>
      <c r="C12" s="8"/>
      <c r="D12" s="1" t="s">
        <v>25</v>
      </c>
      <c r="E12" s="1" t="s">
        <v>24</v>
      </c>
    </row>
    <row r="13" spans="1:8" ht="43.5" customHeight="1" x14ac:dyDescent="0.2">
      <c r="A13" s="8">
        <f t="shared" si="0"/>
        <v>706000</v>
      </c>
      <c r="B13" s="8"/>
      <c r="C13" s="8">
        <v>200000</v>
      </c>
      <c r="D13" s="1" t="s">
        <v>26</v>
      </c>
      <c r="E13" s="1" t="s">
        <v>24</v>
      </c>
    </row>
    <row r="14" spans="1:8" ht="42" customHeight="1" x14ac:dyDescent="0.2">
      <c r="A14" s="8">
        <f t="shared" si="0"/>
        <v>806000</v>
      </c>
      <c r="B14" s="8">
        <v>100000</v>
      </c>
      <c r="C14" s="8"/>
      <c r="D14" s="1" t="s">
        <v>28</v>
      </c>
      <c r="E14" s="1" t="s">
        <v>27</v>
      </c>
    </row>
    <row r="15" spans="1:8" ht="42.75" customHeight="1" x14ac:dyDescent="0.2">
      <c r="A15" s="8">
        <f t="shared" si="0"/>
        <v>1026000</v>
      </c>
      <c r="B15" s="8">
        <v>220000</v>
      </c>
      <c r="C15" s="8"/>
      <c r="D15" s="1" t="s">
        <v>30</v>
      </c>
      <c r="E15" s="1" t="s">
        <v>29</v>
      </c>
    </row>
    <row r="16" spans="1:8" ht="15" customHeight="1" x14ac:dyDescent="0.2">
      <c r="B16">
        <f xml:space="preserve"> B3 + B4 + B5 + B6 + B7 + B8 + B9 +B10 + B11 + B12 + B13 + B14 + B15</f>
        <v>2507000</v>
      </c>
      <c r="C16">
        <f xml:space="preserve"> C3 + C4 + C5 + C6 + C7 + C8 + C9 + C10 + C11 + C12 + C13 + C14 + C15</f>
        <v>1481000</v>
      </c>
    </row>
    <row r="17" spans="1:5" ht="43.5" customHeight="1" x14ac:dyDescent="0.25">
      <c r="C17" s="9">
        <v>1026000</v>
      </c>
      <c r="D17" s="6" t="s">
        <v>12</v>
      </c>
      <c r="E17" s="6" t="s">
        <v>13</v>
      </c>
    </row>
    <row r="18" spans="1:5" ht="45" customHeight="1" x14ac:dyDescent="0.25">
      <c r="A18" s="6" t="s">
        <v>6</v>
      </c>
      <c r="D18" s="6" t="s">
        <v>5</v>
      </c>
    </row>
    <row r="20" spans="1:5" ht="42.75" customHeight="1" x14ac:dyDescent="0.3">
      <c r="A20" t="s">
        <v>17</v>
      </c>
      <c r="B20" s="2" t="s">
        <v>0</v>
      </c>
      <c r="C20" s="2"/>
    </row>
    <row r="21" spans="1:5" ht="42" customHeight="1" x14ac:dyDescent="0.35">
      <c r="A21" s="3" t="s">
        <v>4</v>
      </c>
      <c r="B21" s="4" t="s">
        <v>3</v>
      </c>
      <c r="C21" s="3" t="s">
        <v>1</v>
      </c>
      <c r="D21" s="5" t="s">
        <v>2</v>
      </c>
      <c r="E21" s="5" t="s">
        <v>7</v>
      </c>
    </row>
    <row r="22" spans="1:5" ht="42.75" customHeight="1" x14ac:dyDescent="0.2">
      <c r="A22" s="8">
        <f xml:space="preserve"> C17</f>
        <v>1026000</v>
      </c>
      <c r="B22" s="8">
        <v>40000</v>
      </c>
      <c r="C22" s="8"/>
      <c r="D22" s="1" t="s">
        <v>32</v>
      </c>
      <c r="E22" s="1" t="s">
        <v>31</v>
      </c>
    </row>
    <row r="23" spans="1:5" ht="42" customHeight="1" x14ac:dyDescent="0.2">
      <c r="A23" s="8">
        <f>A22+B23-C23</f>
        <v>1126000</v>
      </c>
      <c r="B23" s="8">
        <v>100000</v>
      </c>
      <c r="C23" s="8"/>
      <c r="D23" s="1" t="s">
        <v>34</v>
      </c>
      <c r="E23" s="7" t="s">
        <v>33</v>
      </c>
    </row>
    <row r="24" spans="1:5" ht="42.75" customHeight="1" x14ac:dyDescent="0.2">
      <c r="A24" s="8">
        <f t="shared" ref="A24:A34" si="1">A23+B24-C24</f>
        <v>1276000</v>
      </c>
      <c r="B24" s="8">
        <v>150000</v>
      </c>
      <c r="C24" s="8"/>
      <c r="D24" s="1" t="s">
        <v>36</v>
      </c>
      <c r="E24" s="1" t="s">
        <v>35</v>
      </c>
    </row>
    <row r="25" spans="1:5" ht="42.75" customHeight="1" x14ac:dyDescent="0.2">
      <c r="A25" s="8">
        <f t="shared" si="1"/>
        <v>1321000</v>
      </c>
      <c r="B25" s="8">
        <v>45000</v>
      </c>
      <c r="C25" s="8"/>
      <c r="D25" s="1" t="s">
        <v>38</v>
      </c>
      <c r="E25" s="1" t="s">
        <v>37</v>
      </c>
    </row>
    <row r="26" spans="1:5" ht="42.75" customHeight="1" x14ac:dyDescent="0.2">
      <c r="A26" s="8">
        <f t="shared" si="1"/>
        <v>621000</v>
      </c>
      <c r="B26" s="8"/>
      <c r="C26" s="8">
        <v>700000</v>
      </c>
      <c r="D26" s="1" t="s">
        <v>40</v>
      </c>
      <c r="E26" s="1" t="s">
        <v>39</v>
      </c>
    </row>
    <row r="27" spans="1:5" ht="42" customHeight="1" x14ac:dyDescent="0.2">
      <c r="A27" s="8">
        <f t="shared" si="1"/>
        <v>913000</v>
      </c>
      <c r="B27" s="8">
        <v>292000</v>
      </c>
      <c r="C27" s="8"/>
      <c r="D27" s="1" t="s">
        <v>42</v>
      </c>
      <c r="E27" s="1" t="s">
        <v>41</v>
      </c>
    </row>
    <row r="28" spans="1:5" ht="42.75" customHeight="1" x14ac:dyDescent="0.2">
      <c r="A28" s="8">
        <f t="shared" si="1"/>
        <v>1046000</v>
      </c>
      <c r="B28" s="8">
        <v>133000</v>
      </c>
      <c r="C28" s="8"/>
      <c r="D28" s="1" t="s">
        <v>44</v>
      </c>
      <c r="E28" s="1" t="s">
        <v>43</v>
      </c>
    </row>
    <row r="29" spans="1:5" ht="44.25" customHeight="1" x14ac:dyDescent="0.2">
      <c r="A29" s="8">
        <f t="shared" si="1"/>
        <v>1351000</v>
      </c>
      <c r="B29" s="8">
        <v>305000</v>
      </c>
      <c r="C29" s="8"/>
      <c r="D29" s="1" t="s">
        <v>46</v>
      </c>
      <c r="E29" s="1" t="s">
        <v>45</v>
      </c>
    </row>
    <row r="30" spans="1:5" ht="43.5" customHeight="1" x14ac:dyDescent="0.2">
      <c r="A30" s="8">
        <f t="shared" si="1"/>
        <v>1411000</v>
      </c>
      <c r="B30" s="8">
        <v>60000</v>
      </c>
      <c r="C30" s="8"/>
      <c r="D30" s="1" t="s">
        <v>48</v>
      </c>
      <c r="E30" s="1" t="s">
        <v>47</v>
      </c>
    </row>
    <row r="31" spans="1:5" ht="42.75" customHeight="1" x14ac:dyDescent="0.2">
      <c r="A31" s="8">
        <f t="shared" si="1"/>
        <v>1518000</v>
      </c>
      <c r="B31" s="8">
        <v>107000</v>
      </c>
      <c r="C31" s="8"/>
      <c r="D31" s="1" t="s">
        <v>50</v>
      </c>
      <c r="E31" s="1" t="s">
        <v>49</v>
      </c>
    </row>
    <row r="32" spans="1:5" ht="43.5" customHeight="1" x14ac:dyDescent="0.2">
      <c r="A32" s="8">
        <f t="shared" si="1"/>
        <v>1398000</v>
      </c>
      <c r="B32" s="8"/>
      <c r="C32" s="8">
        <v>120000</v>
      </c>
      <c r="D32" s="1" t="s">
        <v>40</v>
      </c>
      <c r="E32" s="1" t="s">
        <v>51</v>
      </c>
    </row>
    <row r="33" spans="1:5" ht="42.75" customHeight="1" x14ac:dyDescent="0.2">
      <c r="A33" s="8">
        <f t="shared" si="1"/>
        <v>1468000</v>
      </c>
      <c r="B33" s="8">
        <v>70000</v>
      </c>
      <c r="C33" s="8"/>
      <c r="D33" s="1" t="s">
        <v>53</v>
      </c>
      <c r="E33" s="1" t="s">
        <v>52</v>
      </c>
    </row>
    <row r="34" spans="1:5" ht="42" customHeight="1" x14ac:dyDescent="0.2">
      <c r="A34" s="8">
        <f t="shared" si="1"/>
        <v>1517000</v>
      </c>
      <c r="B34" s="8">
        <v>49000</v>
      </c>
      <c r="C34" s="8"/>
      <c r="D34" s="1" t="s">
        <v>55</v>
      </c>
      <c r="E34" s="1" t="s">
        <v>54</v>
      </c>
    </row>
    <row r="35" spans="1:5" ht="44.25" customHeight="1" x14ac:dyDescent="0.2">
      <c r="A35" s="9"/>
      <c r="B35" s="9">
        <f xml:space="preserve"> B22 + B23 + B24 + B25 + B26 + B27 + B28 +B29 + B30 + B31 + B32 + B33 + B34 +B16</f>
        <v>3858000</v>
      </c>
      <c r="C35" s="9">
        <f xml:space="preserve"> C22 + C23 + C24 + C25 + C26 + C27 + C28 + C29 + C30 + C31 + C32 + C33 + C34 +C16</f>
        <v>2301000</v>
      </c>
    </row>
    <row r="36" spans="1:5" ht="42.75" customHeight="1" x14ac:dyDescent="0.25">
      <c r="A36" s="9"/>
      <c r="B36" s="9"/>
      <c r="C36" s="9">
        <v>1557000</v>
      </c>
      <c r="D36" s="6" t="s">
        <v>12</v>
      </c>
      <c r="E36" s="6" t="s">
        <v>13</v>
      </c>
    </row>
    <row r="37" spans="1:5" ht="15" x14ac:dyDescent="0.25">
      <c r="A37" s="6" t="s">
        <v>6</v>
      </c>
      <c r="D37" s="6" t="s">
        <v>5</v>
      </c>
    </row>
    <row r="39" spans="1:5" ht="27.75" customHeight="1" x14ac:dyDescent="0.3">
      <c r="A39" t="s">
        <v>17</v>
      </c>
      <c r="B39" s="2" t="s">
        <v>0</v>
      </c>
      <c r="C39" s="2"/>
    </row>
    <row r="40" spans="1:5" ht="30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28.5" customHeight="1" x14ac:dyDescent="0.2">
      <c r="A41" s="8">
        <f xml:space="preserve"> C36+B41</f>
        <v>1717000</v>
      </c>
      <c r="B41" s="8">
        <v>160000</v>
      </c>
      <c r="C41" s="8"/>
      <c r="D41" s="1" t="s">
        <v>60</v>
      </c>
      <c r="E41" s="1" t="s">
        <v>59</v>
      </c>
    </row>
    <row r="42" spans="1:5" ht="27.75" customHeight="1" x14ac:dyDescent="0.2">
      <c r="A42" s="8">
        <f xml:space="preserve"> A41+B42-C42</f>
        <v>1557000</v>
      </c>
      <c r="B42" s="8"/>
      <c r="C42" s="8">
        <v>160000</v>
      </c>
      <c r="D42" s="1" t="s">
        <v>26</v>
      </c>
      <c r="E42" s="7" t="s">
        <v>61</v>
      </c>
    </row>
    <row r="43" spans="1:5" ht="30.75" customHeight="1" x14ac:dyDescent="0.2">
      <c r="A43" s="8">
        <f t="shared" ref="A43:A60" si="2" xml:space="preserve"> A42+B43-C43</f>
        <v>1607000</v>
      </c>
      <c r="B43" s="8">
        <v>50000</v>
      </c>
      <c r="C43" s="8"/>
      <c r="D43" s="1" t="s">
        <v>63</v>
      </c>
      <c r="E43" s="1" t="s">
        <v>62</v>
      </c>
    </row>
    <row r="44" spans="1:5" ht="29.25" customHeight="1" x14ac:dyDescent="0.2">
      <c r="A44" s="8">
        <f t="shared" si="2"/>
        <v>1657000</v>
      </c>
      <c r="B44" s="8">
        <v>50000</v>
      </c>
      <c r="C44" s="8"/>
      <c r="D44" s="1" t="s">
        <v>65</v>
      </c>
      <c r="E44" s="1" t="s">
        <v>64</v>
      </c>
    </row>
    <row r="45" spans="1:5" ht="28.5" customHeight="1" x14ac:dyDescent="0.2">
      <c r="A45" s="8">
        <f t="shared" si="2"/>
        <v>1698000</v>
      </c>
      <c r="B45" s="8">
        <v>41000</v>
      </c>
      <c r="C45" s="8"/>
      <c r="D45" s="1" t="s">
        <v>67</v>
      </c>
      <c r="E45" s="1" t="s">
        <v>66</v>
      </c>
    </row>
    <row r="46" spans="1:5" ht="27.75" customHeight="1" x14ac:dyDescent="0.2">
      <c r="A46" s="8">
        <f t="shared" si="2"/>
        <v>1748000</v>
      </c>
      <c r="B46" s="8">
        <v>50000</v>
      </c>
      <c r="C46" s="8"/>
      <c r="D46" s="1" t="s">
        <v>69</v>
      </c>
      <c r="E46" s="1" t="s">
        <v>68</v>
      </c>
    </row>
    <row r="47" spans="1:5" ht="29.25" customHeight="1" x14ac:dyDescent="0.2">
      <c r="A47" s="8">
        <f t="shared" si="2"/>
        <v>1398000</v>
      </c>
      <c r="B47" s="8"/>
      <c r="C47" s="8">
        <v>350000</v>
      </c>
      <c r="D47" s="1" t="s">
        <v>26</v>
      </c>
      <c r="E47" s="1" t="s">
        <v>70</v>
      </c>
    </row>
    <row r="48" spans="1:5" ht="29.25" customHeight="1" x14ac:dyDescent="0.2">
      <c r="A48" s="8">
        <f t="shared" si="2"/>
        <v>898000</v>
      </c>
      <c r="B48" s="8"/>
      <c r="C48" s="8">
        <v>500000</v>
      </c>
      <c r="D48" s="1" t="s">
        <v>26</v>
      </c>
      <c r="E48" s="1" t="s">
        <v>71</v>
      </c>
    </row>
    <row r="49" spans="1:6" ht="28.5" customHeight="1" x14ac:dyDescent="0.2">
      <c r="A49" s="8">
        <f t="shared" si="2"/>
        <v>598000</v>
      </c>
      <c r="B49" s="8"/>
      <c r="C49" s="8">
        <v>300000</v>
      </c>
      <c r="D49" s="1" t="s">
        <v>26</v>
      </c>
      <c r="E49" s="1" t="s">
        <v>72</v>
      </c>
    </row>
    <row r="50" spans="1:6" ht="30" customHeight="1" x14ac:dyDescent="0.2">
      <c r="A50" s="8">
        <f t="shared" si="2"/>
        <v>1398000</v>
      </c>
      <c r="B50" s="8">
        <v>800000</v>
      </c>
      <c r="C50" s="8"/>
      <c r="D50" s="1" t="s">
        <v>74</v>
      </c>
      <c r="E50" s="1" t="s">
        <v>73</v>
      </c>
    </row>
    <row r="51" spans="1:6" ht="28.5" customHeight="1" x14ac:dyDescent="0.2">
      <c r="A51" s="8">
        <f t="shared" si="2"/>
        <v>1428000</v>
      </c>
      <c r="B51" s="8">
        <v>30000</v>
      </c>
      <c r="C51" s="8"/>
      <c r="D51" s="1" t="s">
        <v>75</v>
      </c>
      <c r="E51" s="1" t="s">
        <v>73</v>
      </c>
    </row>
    <row r="52" spans="1:6" ht="28.5" customHeight="1" x14ac:dyDescent="0.2">
      <c r="A52" s="8">
        <f t="shared" si="2"/>
        <v>1639000</v>
      </c>
      <c r="B52" s="8">
        <v>211000</v>
      </c>
      <c r="C52" s="8"/>
      <c r="D52" s="1" t="s">
        <v>77</v>
      </c>
      <c r="E52" s="1" t="s">
        <v>76</v>
      </c>
    </row>
    <row r="53" spans="1:6" ht="27" customHeight="1" x14ac:dyDescent="0.2">
      <c r="A53" s="8">
        <f t="shared" si="2"/>
        <v>339000</v>
      </c>
      <c r="B53" s="8"/>
      <c r="C53" s="8">
        <v>1300000</v>
      </c>
      <c r="D53" s="1" t="s">
        <v>79</v>
      </c>
      <c r="E53" s="1" t="s">
        <v>78</v>
      </c>
    </row>
    <row r="54" spans="1:6" ht="29.25" customHeight="1" x14ac:dyDescent="0.2">
      <c r="A54" s="8">
        <f t="shared" si="2"/>
        <v>1029000</v>
      </c>
      <c r="B54" s="8">
        <v>690000</v>
      </c>
      <c r="C54" s="8"/>
      <c r="D54" s="1" t="s">
        <v>81</v>
      </c>
      <c r="E54" s="1" t="s">
        <v>80</v>
      </c>
      <c r="F54" s="9"/>
    </row>
    <row r="55" spans="1:6" ht="27.75" customHeight="1" x14ac:dyDescent="0.2">
      <c r="A55" s="8">
        <f t="shared" si="2"/>
        <v>1139000</v>
      </c>
      <c r="B55" s="8">
        <v>110000</v>
      </c>
      <c r="C55" s="8"/>
      <c r="D55" s="11" t="s">
        <v>83</v>
      </c>
      <c r="E55" s="11" t="s">
        <v>82</v>
      </c>
      <c r="F55" s="9"/>
    </row>
    <row r="56" spans="1:6" ht="27.75" customHeight="1" x14ac:dyDescent="0.2">
      <c r="A56" s="8">
        <f t="shared" si="2"/>
        <v>1544000</v>
      </c>
      <c r="B56" s="8">
        <v>405000</v>
      </c>
      <c r="C56" s="8"/>
      <c r="D56" s="11" t="s">
        <v>85</v>
      </c>
      <c r="E56" s="1" t="s">
        <v>84</v>
      </c>
      <c r="F56" s="9"/>
    </row>
    <row r="57" spans="1:6" ht="28.5" customHeight="1" x14ac:dyDescent="0.2">
      <c r="A57" s="8">
        <f t="shared" si="2"/>
        <v>844000</v>
      </c>
      <c r="B57" s="8"/>
      <c r="C57" s="8">
        <v>700000</v>
      </c>
      <c r="D57" s="1" t="s">
        <v>26</v>
      </c>
      <c r="E57" s="1" t="s">
        <v>84</v>
      </c>
      <c r="F57" s="9"/>
    </row>
    <row r="58" spans="1:6" ht="27.75" customHeight="1" x14ac:dyDescent="0.2">
      <c r="A58" s="8">
        <f t="shared" si="2"/>
        <v>1040000</v>
      </c>
      <c r="B58" s="8">
        <v>196000</v>
      </c>
      <c r="C58" s="8"/>
      <c r="D58" s="1" t="s">
        <v>87</v>
      </c>
      <c r="E58" s="1" t="s">
        <v>86</v>
      </c>
      <c r="F58" s="9"/>
    </row>
    <row r="59" spans="1:6" ht="27.75" customHeight="1" x14ac:dyDescent="0.2">
      <c r="A59" s="8">
        <f t="shared" si="2"/>
        <v>1310000</v>
      </c>
      <c r="B59" s="8">
        <v>270000</v>
      </c>
      <c r="C59" s="8"/>
      <c r="D59" s="1" t="s">
        <v>89</v>
      </c>
      <c r="E59" s="1" t="s">
        <v>88</v>
      </c>
      <c r="F59" s="9"/>
    </row>
    <row r="60" spans="1:6" ht="28.5" customHeight="1" x14ac:dyDescent="0.2">
      <c r="A60" s="8">
        <f t="shared" si="2"/>
        <v>1410000</v>
      </c>
      <c r="B60" s="8">
        <v>100000</v>
      </c>
      <c r="C60" s="8"/>
      <c r="D60" s="1" t="s">
        <v>91</v>
      </c>
      <c r="E60" s="1" t="s">
        <v>90</v>
      </c>
      <c r="F60" s="9"/>
    </row>
    <row r="61" spans="1:6" ht="27.75" customHeight="1" x14ac:dyDescent="0.2">
      <c r="A61" s="9"/>
      <c r="B61" s="9">
        <f>SUM(B41:B60)+B35</f>
        <v>7021000</v>
      </c>
      <c r="C61" s="9">
        <f>SUM(C41:C60)+C35</f>
        <v>5611000</v>
      </c>
    </row>
    <row r="62" spans="1:6" ht="29.25" customHeight="1" x14ac:dyDescent="0.2"/>
    <row r="63" spans="1:6" ht="27.75" customHeight="1" x14ac:dyDescent="0.3">
      <c r="B63" s="10">
        <f>A60</f>
        <v>1410000</v>
      </c>
      <c r="C63" s="15" t="s">
        <v>56</v>
      </c>
      <c r="D63" s="15"/>
    </row>
    <row r="64" spans="1:6" ht="43.5" customHeight="1" x14ac:dyDescent="0.2">
      <c r="B64" t="s">
        <v>58</v>
      </c>
      <c r="D64" t="s">
        <v>57</v>
      </c>
    </row>
    <row r="65" spans="1:5" ht="28.5" customHeight="1" x14ac:dyDescent="0.2"/>
    <row r="66" spans="1:5" ht="28.5" customHeight="1" x14ac:dyDescent="0.35">
      <c r="A66" s="3" t="s">
        <v>4</v>
      </c>
      <c r="B66" s="4" t="s">
        <v>3</v>
      </c>
      <c r="C66" s="3" t="s">
        <v>1</v>
      </c>
      <c r="D66" s="5" t="s">
        <v>2</v>
      </c>
      <c r="E66" s="5" t="s">
        <v>7</v>
      </c>
    </row>
    <row r="67" spans="1:5" ht="28.5" customHeight="1" x14ac:dyDescent="0.2">
      <c r="A67" s="8">
        <f xml:space="preserve"> B63+B67-C67</f>
        <v>910000</v>
      </c>
      <c r="B67" s="8"/>
      <c r="C67" s="8">
        <v>500000</v>
      </c>
      <c r="D67" s="1" t="s">
        <v>26</v>
      </c>
      <c r="E67" s="1" t="s">
        <v>92</v>
      </c>
    </row>
    <row r="68" spans="1:5" ht="28.5" customHeight="1" x14ac:dyDescent="0.2">
      <c r="A68" s="8">
        <f xml:space="preserve"> A67+B68-C68</f>
        <v>1027000</v>
      </c>
      <c r="B68" s="8">
        <v>117000</v>
      </c>
      <c r="C68" s="8"/>
      <c r="D68" s="1" t="s">
        <v>94</v>
      </c>
      <c r="E68" s="7" t="s">
        <v>93</v>
      </c>
    </row>
    <row r="69" spans="1:5" ht="28.5" customHeight="1" x14ac:dyDescent="0.2">
      <c r="A69" s="8">
        <f t="shared" ref="A69:A86" si="3" xml:space="preserve"> A68+B69-C69</f>
        <v>900000</v>
      </c>
      <c r="B69" s="8"/>
      <c r="C69" s="8">
        <v>127000</v>
      </c>
      <c r="D69" s="1" t="s">
        <v>26</v>
      </c>
      <c r="E69" s="1" t="s">
        <v>95</v>
      </c>
    </row>
    <row r="70" spans="1:5" ht="28.5" customHeight="1" x14ac:dyDescent="0.2">
      <c r="A70" s="8">
        <f t="shared" si="3"/>
        <v>1100000</v>
      </c>
      <c r="B70" s="8">
        <v>200000</v>
      </c>
      <c r="C70" s="8"/>
      <c r="D70" s="1" t="s">
        <v>97</v>
      </c>
      <c r="E70" s="1" t="s">
        <v>96</v>
      </c>
    </row>
    <row r="71" spans="1:5" ht="28.5" customHeight="1" x14ac:dyDescent="0.2">
      <c r="A71" s="8">
        <f t="shared" si="3"/>
        <v>1245000</v>
      </c>
      <c r="B71" s="8">
        <v>145000</v>
      </c>
      <c r="C71" s="8"/>
      <c r="D71" s="1" t="s">
        <v>99</v>
      </c>
      <c r="E71" s="1" t="s">
        <v>98</v>
      </c>
    </row>
    <row r="72" spans="1:5" ht="28.5" customHeight="1" x14ac:dyDescent="0.2">
      <c r="A72" s="8">
        <f t="shared" si="3"/>
        <v>1345000</v>
      </c>
      <c r="B72" s="8">
        <v>100000</v>
      </c>
      <c r="C72" s="8"/>
      <c r="D72" s="1" t="s">
        <v>101</v>
      </c>
      <c r="E72" s="1" t="s">
        <v>100</v>
      </c>
    </row>
    <row r="73" spans="1:5" ht="28.5" customHeight="1" x14ac:dyDescent="0.2">
      <c r="A73" s="8">
        <f t="shared" si="3"/>
        <v>500000</v>
      </c>
      <c r="B73" s="8"/>
      <c r="C73" s="8">
        <v>845000</v>
      </c>
      <c r="D73" s="1" t="s">
        <v>26</v>
      </c>
      <c r="E73" s="1" t="s">
        <v>102</v>
      </c>
    </row>
    <row r="74" spans="1:5" ht="28.5" customHeight="1" x14ac:dyDescent="0.2">
      <c r="A74" s="8">
        <f t="shared" si="3"/>
        <v>700000</v>
      </c>
      <c r="B74" s="8">
        <v>200000</v>
      </c>
      <c r="C74" s="8"/>
      <c r="D74" s="1" t="s">
        <v>104</v>
      </c>
      <c r="E74" s="1" t="s">
        <v>103</v>
      </c>
    </row>
    <row r="75" spans="1:5" ht="28.5" customHeight="1" x14ac:dyDescent="0.2">
      <c r="A75" s="8">
        <f t="shared" si="3"/>
        <v>1250000</v>
      </c>
      <c r="B75" s="8">
        <v>550000</v>
      </c>
      <c r="C75" s="8"/>
      <c r="D75" s="1" t="s">
        <v>106</v>
      </c>
      <c r="E75" s="1" t="s">
        <v>105</v>
      </c>
    </row>
    <row r="76" spans="1:5" ht="28.5" customHeight="1" x14ac:dyDescent="0.2">
      <c r="A76" s="8">
        <f t="shared" si="3"/>
        <v>1450000</v>
      </c>
      <c r="B76" s="8">
        <v>200000</v>
      </c>
      <c r="C76" s="8"/>
      <c r="D76" s="1" t="s">
        <v>108</v>
      </c>
      <c r="E76" s="1" t="s">
        <v>107</v>
      </c>
    </row>
    <row r="77" spans="1:5" ht="28.5" customHeight="1" x14ac:dyDescent="0.2">
      <c r="A77" s="8">
        <f t="shared" si="3"/>
        <v>1650000</v>
      </c>
      <c r="B77" s="8">
        <v>200000</v>
      </c>
      <c r="C77" s="8"/>
      <c r="D77" s="1" t="s">
        <v>110</v>
      </c>
      <c r="E77" s="1" t="s">
        <v>109</v>
      </c>
    </row>
    <row r="78" spans="1:5" ht="28.5" customHeight="1" x14ac:dyDescent="0.2">
      <c r="A78" s="8">
        <f t="shared" si="3"/>
        <v>950000</v>
      </c>
      <c r="B78" s="8"/>
      <c r="C78" s="8">
        <v>700000</v>
      </c>
      <c r="D78" s="1" t="s">
        <v>26</v>
      </c>
      <c r="E78" s="1" t="s">
        <v>111</v>
      </c>
    </row>
    <row r="79" spans="1:5" ht="28.5" customHeight="1" x14ac:dyDescent="0.2">
      <c r="A79" s="8">
        <f t="shared" si="3"/>
        <v>1175000</v>
      </c>
      <c r="B79" s="8">
        <v>225000</v>
      </c>
      <c r="C79" s="8"/>
      <c r="D79" s="1" t="s">
        <v>113</v>
      </c>
      <c r="E79" s="1" t="s">
        <v>112</v>
      </c>
    </row>
    <row r="80" spans="1:5" ht="28.5" customHeight="1" x14ac:dyDescent="0.2">
      <c r="A80" s="8">
        <f t="shared" si="3"/>
        <v>1300000</v>
      </c>
      <c r="B80" s="8">
        <v>125000</v>
      </c>
      <c r="C80" s="8"/>
      <c r="D80" s="1" t="s">
        <v>115</v>
      </c>
      <c r="E80" s="11" t="s">
        <v>114</v>
      </c>
    </row>
    <row r="81" spans="1:5" ht="28.5" customHeight="1" x14ac:dyDescent="0.2">
      <c r="A81" s="8">
        <f t="shared" si="3"/>
        <v>1433000</v>
      </c>
      <c r="B81" s="8">
        <v>133000</v>
      </c>
      <c r="C81" s="8"/>
      <c r="D81" s="11" t="s">
        <v>117</v>
      </c>
      <c r="E81" s="13" t="s">
        <v>116</v>
      </c>
    </row>
    <row r="82" spans="1:5" ht="28.5" customHeight="1" x14ac:dyDescent="0.2">
      <c r="A82" s="8">
        <f t="shared" si="3"/>
        <v>1587000</v>
      </c>
      <c r="B82" s="8">
        <v>154000</v>
      </c>
      <c r="C82" s="8"/>
      <c r="D82" s="11" t="s">
        <v>113</v>
      </c>
      <c r="E82" s="1" t="s">
        <v>118</v>
      </c>
    </row>
    <row r="83" spans="1:5" ht="28.5" customHeight="1" x14ac:dyDescent="0.2">
      <c r="A83" s="8">
        <f t="shared" si="3"/>
        <v>1877000</v>
      </c>
      <c r="B83" s="8">
        <v>290000</v>
      </c>
      <c r="C83" s="8"/>
      <c r="D83" s="1" t="s">
        <v>120</v>
      </c>
      <c r="E83" s="1" t="s">
        <v>119</v>
      </c>
    </row>
    <row r="84" spans="1:5" ht="28.5" customHeight="1" x14ac:dyDescent="0.2">
      <c r="A84" s="8">
        <f t="shared" si="3"/>
        <v>1972000</v>
      </c>
      <c r="B84" s="8">
        <v>95000</v>
      </c>
      <c r="C84" s="8"/>
      <c r="D84" s="1" t="s">
        <v>121</v>
      </c>
      <c r="E84" s="1" t="s">
        <v>119</v>
      </c>
    </row>
    <row r="85" spans="1:5" ht="28.5" customHeight="1" x14ac:dyDescent="0.2">
      <c r="A85" s="8">
        <f t="shared" si="3"/>
        <v>2008000</v>
      </c>
      <c r="B85" s="8">
        <v>36000</v>
      </c>
      <c r="C85" s="8"/>
      <c r="D85" s="1" t="s">
        <v>123</v>
      </c>
      <c r="E85" s="1" t="s">
        <v>122</v>
      </c>
    </row>
    <row r="86" spans="1:5" ht="28.5" customHeight="1" x14ac:dyDescent="0.2">
      <c r="A86" s="8">
        <f t="shared" si="3"/>
        <v>2118000</v>
      </c>
      <c r="B86" s="8">
        <v>110000</v>
      </c>
      <c r="C86" s="8"/>
      <c r="D86" s="1" t="s">
        <v>125</v>
      </c>
      <c r="E86" s="1" t="s">
        <v>124</v>
      </c>
    </row>
    <row r="87" spans="1:5" ht="28.5" customHeight="1" x14ac:dyDescent="0.2">
      <c r="A87" s="9"/>
      <c r="B87" s="9">
        <f>SUM(B67:B86)+B61</f>
        <v>9901000</v>
      </c>
      <c r="C87" s="9">
        <f>SUM(C67:C86)+C61</f>
        <v>7783000</v>
      </c>
    </row>
    <row r="88" spans="1:5" ht="28.5" customHeight="1" x14ac:dyDescent="0.2"/>
    <row r="89" spans="1:5" ht="28.5" customHeight="1" x14ac:dyDescent="0.3">
      <c r="B89" s="10">
        <f>A86</f>
        <v>2118000</v>
      </c>
      <c r="C89" s="12" t="s">
        <v>56</v>
      </c>
      <c r="D89" s="12"/>
    </row>
    <row r="90" spans="1:5" ht="28.5" customHeight="1" x14ac:dyDescent="0.2">
      <c r="B90" t="s">
        <v>58</v>
      </c>
      <c r="D90" t="s">
        <v>57</v>
      </c>
    </row>
    <row r="91" spans="1:5" ht="28.5" customHeight="1" x14ac:dyDescent="0.2"/>
    <row r="92" spans="1:5" ht="28.5" customHeight="1" x14ac:dyDescent="0.35">
      <c r="A92" s="3" t="s">
        <v>4</v>
      </c>
      <c r="B92" s="4" t="s">
        <v>3</v>
      </c>
      <c r="C92" s="3" t="s">
        <v>1</v>
      </c>
      <c r="D92" s="5" t="s">
        <v>2</v>
      </c>
      <c r="E92" s="5" t="s">
        <v>7</v>
      </c>
    </row>
    <row r="93" spans="1:5" ht="28.5" customHeight="1" x14ac:dyDescent="0.2">
      <c r="A93" s="8">
        <f xml:space="preserve"> B89+B93-C93</f>
        <v>2173000</v>
      </c>
      <c r="B93" s="8">
        <v>55000</v>
      </c>
      <c r="C93" s="8"/>
      <c r="D93" s="1" t="s">
        <v>127</v>
      </c>
      <c r="E93" s="1" t="s">
        <v>126</v>
      </c>
    </row>
    <row r="94" spans="1:5" ht="28.5" customHeight="1" x14ac:dyDescent="0.2">
      <c r="A94" s="8">
        <f xml:space="preserve"> A93+B94-C94</f>
        <v>2293000</v>
      </c>
      <c r="B94" s="8">
        <v>120000</v>
      </c>
      <c r="C94" s="8"/>
      <c r="D94" s="1" t="s">
        <v>129</v>
      </c>
      <c r="E94" s="7" t="s">
        <v>128</v>
      </c>
    </row>
    <row r="95" spans="1:5" ht="28.5" customHeight="1" x14ac:dyDescent="0.2">
      <c r="A95" s="8">
        <f t="shared" ref="A95:A112" si="4" xml:space="preserve"> A94+B95-C95</f>
        <v>2393000</v>
      </c>
      <c r="B95" s="8">
        <v>100000</v>
      </c>
      <c r="C95" s="8"/>
      <c r="D95" s="1" t="s">
        <v>131</v>
      </c>
      <c r="E95" s="1" t="s">
        <v>130</v>
      </c>
    </row>
    <row r="96" spans="1:5" ht="28.5" customHeight="1" x14ac:dyDescent="0.2">
      <c r="A96" s="8">
        <f t="shared" si="4"/>
        <v>893000</v>
      </c>
      <c r="B96" s="8"/>
      <c r="C96" s="8">
        <v>1500000</v>
      </c>
      <c r="D96" s="1" t="s">
        <v>26</v>
      </c>
      <c r="E96" s="1" t="s">
        <v>132</v>
      </c>
    </row>
    <row r="97" spans="1:5" ht="28.5" customHeight="1" x14ac:dyDescent="0.2">
      <c r="A97" s="8">
        <f t="shared" si="4"/>
        <v>986000</v>
      </c>
      <c r="B97" s="8">
        <v>93000</v>
      </c>
      <c r="C97" s="8"/>
      <c r="D97" s="1" t="s">
        <v>129</v>
      </c>
      <c r="E97" s="1" t="s">
        <v>133</v>
      </c>
    </row>
    <row r="98" spans="1:5" ht="28.5" customHeight="1" x14ac:dyDescent="0.2">
      <c r="A98" s="8">
        <f t="shared" si="4"/>
        <v>1106000</v>
      </c>
      <c r="B98" s="8">
        <v>120000</v>
      </c>
      <c r="C98" s="8"/>
      <c r="D98" s="1" t="s">
        <v>135</v>
      </c>
      <c r="E98" s="1" t="s">
        <v>134</v>
      </c>
    </row>
    <row r="99" spans="1:5" ht="28.5" customHeight="1" x14ac:dyDescent="0.2">
      <c r="A99" s="8">
        <f t="shared" si="4"/>
        <v>1181000</v>
      </c>
      <c r="B99" s="8">
        <v>75000</v>
      </c>
      <c r="C99" s="8"/>
      <c r="D99" s="1" t="s">
        <v>137</v>
      </c>
      <c r="E99" s="1" t="s">
        <v>136</v>
      </c>
    </row>
    <row r="100" spans="1:5" ht="28.5" customHeight="1" x14ac:dyDescent="0.2">
      <c r="A100" s="8">
        <f t="shared" si="4"/>
        <v>1281000</v>
      </c>
      <c r="B100" s="8">
        <v>100000</v>
      </c>
      <c r="C100" s="8"/>
      <c r="D100" s="1" t="s">
        <v>139</v>
      </c>
      <c r="E100" s="1" t="s">
        <v>138</v>
      </c>
    </row>
    <row r="101" spans="1:5" ht="28.5" customHeight="1" x14ac:dyDescent="0.2">
      <c r="A101" s="8">
        <f t="shared" si="4"/>
        <v>1381000</v>
      </c>
      <c r="B101" s="8">
        <v>100000</v>
      </c>
      <c r="C101" s="8"/>
      <c r="D101" s="1" t="s">
        <v>140</v>
      </c>
      <c r="E101" s="1" t="s">
        <v>138</v>
      </c>
    </row>
    <row r="102" spans="1:5" ht="28.5" customHeight="1" x14ac:dyDescent="0.2">
      <c r="A102" s="8">
        <f t="shared" si="4"/>
        <v>1581000</v>
      </c>
      <c r="B102" s="8">
        <v>200000</v>
      </c>
      <c r="C102" s="8"/>
      <c r="D102" s="1" t="s">
        <v>142</v>
      </c>
      <c r="E102" s="1" t="s">
        <v>141</v>
      </c>
    </row>
    <row r="103" spans="1:5" ht="28.5" customHeight="1" x14ac:dyDescent="0.2">
      <c r="A103" s="8">
        <f t="shared" si="4"/>
        <v>1686000</v>
      </c>
      <c r="B103" s="8">
        <v>105000</v>
      </c>
      <c r="C103" s="8"/>
      <c r="D103" s="1" t="s">
        <v>101</v>
      </c>
      <c r="E103" s="1"/>
    </row>
    <row r="104" spans="1:5" ht="28.5" customHeight="1" x14ac:dyDescent="0.2">
      <c r="A104" s="8">
        <f t="shared" si="4"/>
        <v>1406000</v>
      </c>
      <c r="B104" s="8"/>
      <c r="C104" s="8">
        <v>280000</v>
      </c>
      <c r="D104" s="1" t="s">
        <v>26</v>
      </c>
      <c r="E104" s="1" t="s">
        <v>141</v>
      </c>
    </row>
    <row r="105" spans="1:5" ht="28.5" customHeight="1" x14ac:dyDescent="0.2">
      <c r="A105" s="8">
        <f t="shared" si="4"/>
        <v>1606000</v>
      </c>
      <c r="B105" s="8">
        <v>200000</v>
      </c>
      <c r="C105" s="8"/>
      <c r="D105" s="1" t="s">
        <v>144</v>
      </c>
      <c r="E105" s="1" t="s">
        <v>143</v>
      </c>
    </row>
    <row r="106" spans="1:5" ht="28.5" customHeight="1" x14ac:dyDescent="0.2">
      <c r="A106" s="8">
        <f t="shared" si="4"/>
        <v>1326000</v>
      </c>
      <c r="B106" s="8"/>
      <c r="C106" s="8">
        <v>280000</v>
      </c>
      <c r="D106" s="1" t="s">
        <v>26</v>
      </c>
      <c r="E106" s="11" t="s">
        <v>143</v>
      </c>
    </row>
    <row r="107" spans="1:5" ht="28.5" customHeight="1" x14ac:dyDescent="0.2">
      <c r="A107" s="8">
        <f t="shared" si="4"/>
        <v>1206000</v>
      </c>
      <c r="B107" s="8"/>
      <c r="C107" s="8">
        <v>120000</v>
      </c>
      <c r="D107" s="11" t="s">
        <v>26</v>
      </c>
      <c r="E107" s="13" t="s">
        <v>145</v>
      </c>
    </row>
    <row r="108" spans="1:5" ht="28.5" customHeight="1" x14ac:dyDescent="0.2">
      <c r="A108" s="8">
        <f t="shared" si="4"/>
        <v>1423000</v>
      </c>
      <c r="B108" s="8">
        <v>217000</v>
      </c>
      <c r="C108" s="8"/>
      <c r="D108" s="11" t="s">
        <v>146</v>
      </c>
      <c r="E108" s="1" t="s">
        <v>145</v>
      </c>
    </row>
    <row r="109" spans="1:5" ht="28.5" customHeight="1" x14ac:dyDescent="0.2">
      <c r="A109" s="8">
        <f t="shared" si="4"/>
        <v>1548000</v>
      </c>
      <c r="B109" s="8">
        <v>125000</v>
      </c>
      <c r="C109" s="8"/>
      <c r="D109" s="1" t="s">
        <v>129</v>
      </c>
      <c r="E109" s="1" t="s">
        <v>147</v>
      </c>
    </row>
    <row r="110" spans="1:5" ht="28.5" customHeight="1" x14ac:dyDescent="0.2">
      <c r="A110" s="8">
        <f t="shared" si="4"/>
        <v>1633000</v>
      </c>
      <c r="B110" s="8">
        <v>85000</v>
      </c>
      <c r="C110" s="8"/>
      <c r="D110" s="1" t="s">
        <v>149</v>
      </c>
      <c r="E110" s="1" t="s">
        <v>148</v>
      </c>
    </row>
    <row r="111" spans="1:5" ht="28.5" customHeight="1" x14ac:dyDescent="0.2">
      <c r="A111" s="8">
        <f t="shared" si="4"/>
        <v>1786000</v>
      </c>
      <c r="B111" s="8">
        <v>153000</v>
      </c>
      <c r="C111" s="8"/>
      <c r="D111" s="1" t="s">
        <v>151</v>
      </c>
      <c r="E111" s="1" t="s">
        <v>150</v>
      </c>
    </row>
    <row r="112" spans="1:5" ht="28.5" customHeight="1" x14ac:dyDescent="0.2">
      <c r="A112" s="8">
        <f t="shared" si="4"/>
        <v>1841000</v>
      </c>
      <c r="B112" s="8">
        <v>55000</v>
      </c>
      <c r="C112" s="8"/>
      <c r="D112" s="1" t="s">
        <v>153</v>
      </c>
      <c r="E112" s="1" t="s">
        <v>152</v>
      </c>
    </row>
    <row r="113" spans="1:5" ht="28.5" customHeight="1" x14ac:dyDescent="0.2">
      <c r="A113" s="9"/>
      <c r="B113" s="9">
        <f>SUM(B93:B112)+B87</f>
        <v>11804000</v>
      </c>
      <c r="C113" s="9">
        <f>SUM(C93:C112)+C87</f>
        <v>9963000</v>
      </c>
    </row>
    <row r="114" spans="1:5" ht="28.5" customHeight="1" x14ac:dyDescent="0.2"/>
    <row r="115" spans="1:5" ht="28.5" customHeight="1" x14ac:dyDescent="0.3">
      <c r="B115" s="10">
        <f>A112</f>
        <v>1841000</v>
      </c>
      <c r="C115" s="14" t="s">
        <v>56</v>
      </c>
      <c r="D115" s="14"/>
    </row>
    <row r="116" spans="1:5" ht="28.5" customHeight="1" x14ac:dyDescent="0.2">
      <c r="B116" t="s">
        <v>58</v>
      </c>
      <c r="D116" t="s">
        <v>57</v>
      </c>
    </row>
    <row r="117" spans="1:5" ht="28.5" customHeight="1" x14ac:dyDescent="0.3">
      <c r="A117" t="s">
        <v>17</v>
      </c>
      <c r="B117" s="2" t="s">
        <v>0</v>
      </c>
    </row>
    <row r="118" spans="1:5" ht="28.5" customHeight="1" x14ac:dyDescent="0.35">
      <c r="A118" s="3" t="s">
        <v>4</v>
      </c>
      <c r="B118" s="4" t="s">
        <v>3</v>
      </c>
      <c r="C118" s="3" t="s">
        <v>1</v>
      </c>
      <c r="D118" s="5" t="s">
        <v>2</v>
      </c>
      <c r="E118" s="5" t="s">
        <v>7</v>
      </c>
    </row>
    <row r="119" spans="1:5" ht="28.5" customHeight="1" x14ac:dyDescent="0.2">
      <c r="A119" s="8">
        <f xml:space="preserve"> B115+B119-C119</f>
        <v>1931000</v>
      </c>
      <c r="B119" s="8">
        <v>90000</v>
      </c>
      <c r="C119" s="8"/>
      <c r="D119" s="1" t="s">
        <v>149</v>
      </c>
      <c r="E119" s="1" t="s">
        <v>154</v>
      </c>
    </row>
    <row r="120" spans="1:5" ht="28.5" customHeight="1" x14ac:dyDescent="0.2">
      <c r="A120" s="8">
        <f xml:space="preserve"> A119+B120-C120</f>
        <v>2038000</v>
      </c>
      <c r="B120" s="8">
        <v>107000</v>
      </c>
      <c r="C120" s="8"/>
      <c r="D120" s="1" t="s">
        <v>156</v>
      </c>
      <c r="E120" s="1" t="s">
        <v>155</v>
      </c>
    </row>
    <row r="121" spans="1:5" ht="28.5" customHeight="1" x14ac:dyDescent="0.2">
      <c r="A121" s="8">
        <f t="shared" ref="A121:A138" si="5" xml:space="preserve"> A120+B121-C121</f>
        <v>1338000</v>
      </c>
      <c r="B121" s="8"/>
      <c r="C121" s="8">
        <v>700000</v>
      </c>
      <c r="D121" s="1" t="s">
        <v>26</v>
      </c>
      <c r="E121" s="1" t="s">
        <v>157</v>
      </c>
    </row>
    <row r="122" spans="1:5" ht="28.5" customHeight="1" x14ac:dyDescent="0.2">
      <c r="A122" s="8">
        <f t="shared" si="5"/>
        <v>1538000</v>
      </c>
      <c r="B122" s="8">
        <v>200000</v>
      </c>
      <c r="C122" s="8"/>
      <c r="D122" s="1" t="s">
        <v>159</v>
      </c>
      <c r="E122" s="1" t="s">
        <v>158</v>
      </c>
    </row>
    <row r="123" spans="1:5" ht="28.5" customHeight="1" x14ac:dyDescent="0.2">
      <c r="A123" s="8">
        <f t="shared" si="5"/>
        <v>1000000</v>
      </c>
      <c r="B123" s="8"/>
      <c r="C123" s="8">
        <v>538000</v>
      </c>
      <c r="D123" s="1" t="s">
        <v>26</v>
      </c>
      <c r="E123" s="1" t="s">
        <v>160</v>
      </c>
    </row>
    <row r="124" spans="1:5" ht="28.5" customHeight="1" x14ac:dyDescent="0.2">
      <c r="A124" s="8">
        <f t="shared" si="5"/>
        <v>1285000</v>
      </c>
      <c r="B124" s="8">
        <v>285000</v>
      </c>
      <c r="C124" s="8"/>
      <c r="D124" s="1" t="s">
        <v>162</v>
      </c>
      <c r="E124" s="1" t="s">
        <v>161</v>
      </c>
    </row>
    <row r="125" spans="1:5" ht="28.5" customHeight="1" x14ac:dyDescent="0.2">
      <c r="A125" s="8">
        <f t="shared" si="5"/>
        <v>1479600</v>
      </c>
      <c r="B125" s="8">
        <v>194600</v>
      </c>
      <c r="C125" s="8"/>
      <c r="D125" s="1" t="s">
        <v>164</v>
      </c>
      <c r="E125" s="1" t="s">
        <v>163</v>
      </c>
    </row>
    <row r="126" spans="1:5" ht="28.5" customHeight="1" x14ac:dyDescent="0.2">
      <c r="A126" s="8">
        <f t="shared" si="5"/>
        <v>779600</v>
      </c>
      <c r="B126" s="8"/>
      <c r="C126" s="8">
        <v>700000</v>
      </c>
      <c r="D126" s="1" t="s">
        <v>26</v>
      </c>
      <c r="E126" s="1" t="s">
        <v>165</v>
      </c>
    </row>
    <row r="127" spans="1:5" ht="28.5" customHeight="1" x14ac:dyDescent="0.2">
      <c r="A127" s="8">
        <f t="shared" si="5"/>
        <v>1054600</v>
      </c>
      <c r="B127" s="8">
        <v>275000</v>
      </c>
      <c r="C127" s="8"/>
      <c r="D127" s="1" t="s">
        <v>166</v>
      </c>
      <c r="E127" s="1"/>
    </row>
    <row r="128" spans="1:5" ht="28.5" customHeight="1" x14ac:dyDescent="0.2">
      <c r="A128" s="8">
        <f t="shared" si="5"/>
        <v>1146600</v>
      </c>
      <c r="B128" s="8">
        <v>92000</v>
      </c>
      <c r="C128" s="8"/>
      <c r="D128" s="1" t="s">
        <v>167</v>
      </c>
      <c r="E128" s="1" t="s">
        <v>165</v>
      </c>
    </row>
    <row r="129" spans="1:5" ht="28.5" customHeight="1" x14ac:dyDescent="0.2">
      <c r="A129" s="8">
        <f t="shared" si="5"/>
        <v>1222600</v>
      </c>
      <c r="B129" s="8">
        <v>76000</v>
      </c>
      <c r="C129" s="8"/>
      <c r="D129" s="1" t="s">
        <v>169</v>
      </c>
      <c r="E129" s="1" t="s">
        <v>168</v>
      </c>
    </row>
    <row r="130" spans="1:5" ht="28.5" customHeight="1" x14ac:dyDescent="0.2">
      <c r="A130" s="8">
        <f t="shared" si="5"/>
        <v>1322600</v>
      </c>
      <c r="B130" s="8">
        <v>100000</v>
      </c>
      <c r="C130" s="8"/>
      <c r="D130" s="1" t="s">
        <v>171</v>
      </c>
      <c r="E130" s="1" t="s">
        <v>170</v>
      </c>
    </row>
    <row r="131" spans="1:5" ht="28.5" customHeight="1" x14ac:dyDescent="0.2">
      <c r="A131" s="8">
        <f t="shared" si="5"/>
        <v>1458600</v>
      </c>
      <c r="B131" s="8">
        <v>136000</v>
      </c>
      <c r="C131" s="8"/>
      <c r="D131" s="1" t="s">
        <v>174</v>
      </c>
      <c r="E131" s="1" t="s">
        <v>173</v>
      </c>
    </row>
    <row r="132" spans="1:5" ht="28.5" customHeight="1" x14ac:dyDescent="0.2">
      <c r="A132" s="8">
        <f t="shared" si="5"/>
        <v>1748600</v>
      </c>
      <c r="B132" s="8">
        <v>290000</v>
      </c>
      <c r="C132" s="8"/>
      <c r="D132" s="1" t="s">
        <v>176</v>
      </c>
      <c r="E132" s="1" t="s">
        <v>175</v>
      </c>
    </row>
    <row r="133" spans="1:5" ht="28.5" customHeight="1" x14ac:dyDescent="0.2">
      <c r="A133" s="8">
        <f t="shared" si="5"/>
        <v>2028600</v>
      </c>
      <c r="B133" s="8">
        <v>280000</v>
      </c>
      <c r="C133" s="8"/>
      <c r="D133" s="1" t="s">
        <v>178</v>
      </c>
      <c r="E133" s="1" t="s">
        <v>177</v>
      </c>
    </row>
    <row r="134" spans="1:5" ht="28.5" customHeight="1" x14ac:dyDescent="0.2">
      <c r="A134" s="8">
        <f t="shared" si="5"/>
        <v>2064600</v>
      </c>
      <c r="B134" s="8">
        <v>36000</v>
      </c>
      <c r="C134" s="8"/>
      <c r="D134" s="1" t="s">
        <v>123</v>
      </c>
      <c r="E134" s="1" t="s">
        <v>179</v>
      </c>
    </row>
    <row r="135" spans="1:5" ht="28.5" customHeight="1" x14ac:dyDescent="0.2">
      <c r="A135" s="8">
        <f t="shared" si="5"/>
        <v>2154600</v>
      </c>
      <c r="B135" s="8">
        <v>90000</v>
      </c>
      <c r="C135" s="8"/>
      <c r="D135" s="1" t="s">
        <v>115</v>
      </c>
      <c r="E135" s="1" t="s">
        <v>180</v>
      </c>
    </row>
    <row r="136" spans="1:5" ht="28.5" customHeight="1" x14ac:dyDescent="0.2">
      <c r="A136" s="8">
        <f t="shared" si="5"/>
        <v>2254600</v>
      </c>
      <c r="B136" s="8">
        <v>100000</v>
      </c>
      <c r="C136" s="8"/>
      <c r="D136" s="1" t="s">
        <v>182</v>
      </c>
      <c r="E136" s="1" t="s">
        <v>181</v>
      </c>
    </row>
    <row r="137" spans="1:5" ht="28.5" customHeight="1" x14ac:dyDescent="0.2">
      <c r="A137" s="8">
        <f t="shared" si="5"/>
        <v>2514600</v>
      </c>
      <c r="B137" s="8">
        <v>260000</v>
      </c>
      <c r="C137" s="8"/>
      <c r="D137" s="1" t="s">
        <v>65</v>
      </c>
      <c r="E137" s="1" t="s">
        <v>183</v>
      </c>
    </row>
    <row r="138" spans="1:5" ht="28.5" customHeight="1" x14ac:dyDescent="0.2">
      <c r="A138" s="8">
        <f t="shared" si="5"/>
        <v>2724600</v>
      </c>
      <c r="B138" s="8">
        <v>210000</v>
      </c>
      <c r="C138" s="8"/>
      <c r="D138" s="1" t="s">
        <v>185</v>
      </c>
      <c r="E138" s="1" t="s">
        <v>184</v>
      </c>
    </row>
    <row r="139" spans="1:5" ht="28.5" customHeight="1" x14ac:dyDescent="0.2">
      <c r="A139" s="9"/>
      <c r="B139" s="9">
        <f>SUM(B119:B138)+B113</f>
        <v>14625600</v>
      </c>
      <c r="C139" s="9">
        <f>SUM(C119:C138)+C113</f>
        <v>11901000</v>
      </c>
    </row>
    <row r="140" spans="1:5" ht="28.5" customHeight="1" x14ac:dyDescent="0.2"/>
    <row r="141" spans="1:5" ht="28.5" customHeight="1" x14ac:dyDescent="0.3">
      <c r="B141" s="10">
        <f>A138</f>
        <v>2724600</v>
      </c>
      <c r="C141" s="15" t="s">
        <v>172</v>
      </c>
      <c r="D141" s="15"/>
    </row>
    <row r="142" spans="1:5" ht="28.5" customHeight="1" x14ac:dyDescent="0.2">
      <c r="B142" t="s">
        <v>58</v>
      </c>
      <c r="D142" t="s">
        <v>57</v>
      </c>
    </row>
    <row r="143" spans="1:5" ht="28.5" customHeight="1" x14ac:dyDescent="0.3">
      <c r="A143" t="s">
        <v>17</v>
      </c>
      <c r="B143" s="2" t="s">
        <v>0</v>
      </c>
    </row>
    <row r="144" spans="1:5" ht="28.5" customHeight="1" x14ac:dyDescent="0.35">
      <c r="A144" s="3" t="s">
        <v>4</v>
      </c>
      <c r="B144" s="4" t="s">
        <v>3</v>
      </c>
      <c r="C144" s="3" t="s">
        <v>1</v>
      </c>
      <c r="D144" s="5" t="s">
        <v>2</v>
      </c>
      <c r="E144" s="5" t="s">
        <v>7</v>
      </c>
    </row>
    <row r="145" spans="1:5" ht="28.5" customHeight="1" x14ac:dyDescent="0.2">
      <c r="A145" s="8">
        <f xml:space="preserve"> B141+B145-C145</f>
        <v>2924600</v>
      </c>
      <c r="B145" s="8">
        <v>200000</v>
      </c>
      <c r="C145" s="8"/>
      <c r="D145" s="1" t="s">
        <v>187</v>
      </c>
      <c r="E145" s="1" t="s">
        <v>186</v>
      </c>
    </row>
    <row r="146" spans="1:5" ht="28.5" customHeight="1" x14ac:dyDescent="0.2">
      <c r="A146" s="8">
        <f xml:space="preserve"> A145+B146-C146</f>
        <v>3074600</v>
      </c>
      <c r="B146" s="8">
        <v>150000</v>
      </c>
      <c r="C146" s="8"/>
      <c r="D146" s="1" t="s">
        <v>189</v>
      </c>
      <c r="E146" s="1" t="s">
        <v>188</v>
      </c>
    </row>
    <row r="147" spans="1:5" ht="28.5" customHeight="1" x14ac:dyDescent="0.2">
      <c r="A147" s="8">
        <f t="shared" ref="A147:A164" si="6" xml:space="preserve"> A146+B147-C147</f>
        <v>3190600</v>
      </c>
      <c r="B147" s="8">
        <v>116000</v>
      </c>
      <c r="C147" s="8"/>
      <c r="D147" s="1" t="s">
        <v>191</v>
      </c>
      <c r="E147" s="1" t="s">
        <v>190</v>
      </c>
    </row>
    <row r="148" spans="1:5" ht="28.5" customHeight="1" x14ac:dyDescent="0.2">
      <c r="A148" s="8">
        <f t="shared" si="6"/>
        <v>3302600</v>
      </c>
      <c r="B148" s="8">
        <v>112000</v>
      </c>
      <c r="C148" s="8"/>
      <c r="D148" s="1"/>
      <c r="E148" s="1" t="s">
        <v>192</v>
      </c>
    </row>
    <row r="149" spans="1:5" ht="28.5" customHeight="1" x14ac:dyDescent="0.2">
      <c r="A149" s="8">
        <f t="shared" si="6"/>
        <v>3452600</v>
      </c>
      <c r="B149" s="8">
        <v>150000</v>
      </c>
      <c r="C149" s="8"/>
      <c r="D149" s="1" t="s">
        <v>194</v>
      </c>
      <c r="E149" s="1" t="s">
        <v>193</v>
      </c>
    </row>
    <row r="150" spans="1:5" ht="28.5" customHeight="1" x14ac:dyDescent="0.2">
      <c r="A150" s="8">
        <f t="shared" si="6"/>
        <v>2952600</v>
      </c>
      <c r="B150" s="8"/>
      <c r="C150" s="8">
        <v>500000</v>
      </c>
      <c r="D150" s="1" t="s">
        <v>196</v>
      </c>
      <c r="E150" s="1" t="s">
        <v>195</v>
      </c>
    </row>
    <row r="151" spans="1:5" ht="28.5" customHeight="1" x14ac:dyDescent="0.2">
      <c r="A151" s="8">
        <f t="shared" si="6"/>
        <v>3102600</v>
      </c>
      <c r="B151" s="8">
        <v>150000</v>
      </c>
      <c r="C151" s="8"/>
      <c r="D151" s="1" t="s">
        <v>194</v>
      </c>
      <c r="E151" s="1"/>
    </row>
    <row r="152" spans="1:5" ht="28.5" customHeight="1" x14ac:dyDescent="0.2">
      <c r="A152" s="8">
        <f t="shared" si="6"/>
        <v>3282600</v>
      </c>
      <c r="B152" s="8">
        <v>180000</v>
      </c>
      <c r="C152" s="8"/>
      <c r="D152" s="1" t="s">
        <v>198</v>
      </c>
      <c r="E152" s="1" t="s">
        <v>197</v>
      </c>
    </row>
    <row r="153" spans="1:5" ht="28.5" customHeight="1" x14ac:dyDescent="0.2">
      <c r="A153" s="8">
        <f t="shared" si="6"/>
        <v>3342600</v>
      </c>
      <c r="B153" s="8">
        <v>60000</v>
      </c>
      <c r="C153" s="8"/>
      <c r="D153" s="1" t="s">
        <v>200</v>
      </c>
      <c r="E153" s="1" t="s">
        <v>199</v>
      </c>
    </row>
    <row r="154" spans="1:5" ht="29.25" customHeight="1" x14ac:dyDescent="0.2">
      <c r="A154" s="8">
        <f t="shared" si="6"/>
        <v>3492600</v>
      </c>
      <c r="B154" s="8">
        <v>150000</v>
      </c>
      <c r="C154" s="8"/>
      <c r="D154" s="1" t="s">
        <v>198</v>
      </c>
      <c r="E154" s="1" t="s">
        <v>201</v>
      </c>
    </row>
    <row r="155" spans="1:5" ht="29.25" customHeight="1" x14ac:dyDescent="0.2">
      <c r="A155" s="8">
        <f t="shared" si="6"/>
        <v>3492600</v>
      </c>
      <c r="B155" s="8"/>
      <c r="C155" s="8"/>
      <c r="D155" s="1"/>
      <c r="E155" s="1"/>
    </row>
    <row r="156" spans="1:5" ht="29.25" customHeight="1" x14ac:dyDescent="0.2">
      <c r="A156" s="8">
        <f t="shared" si="6"/>
        <v>3492600</v>
      </c>
      <c r="B156" s="8"/>
      <c r="C156" s="8"/>
      <c r="D156" s="1"/>
      <c r="E156" s="1"/>
    </row>
    <row r="157" spans="1:5" ht="29.25" customHeight="1" x14ac:dyDescent="0.2">
      <c r="A157" s="8">
        <f t="shared" si="6"/>
        <v>3492600</v>
      </c>
      <c r="B157" s="8"/>
      <c r="C157" s="8"/>
      <c r="D157" s="1"/>
      <c r="E157" s="1"/>
    </row>
    <row r="158" spans="1:5" ht="29.25" customHeight="1" x14ac:dyDescent="0.2">
      <c r="A158" s="8">
        <f t="shared" si="6"/>
        <v>3492600</v>
      </c>
      <c r="B158" s="8"/>
      <c r="C158" s="8"/>
      <c r="D158" s="1"/>
      <c r="E158" s="1"/>
    </row>
    <row r="159" spans="1:5" ht="29.25" customHeight="1" x14ac:dyDescent="0.2">
      <c r="A159" s="8">
        <f t="shared" si="6"/>
        <v>3492600</v>
      </c>
      <c r="B159" s="8"/>
      <c r="C159" s="8"/>
      <c r="D159" s="1"/>
      <c r="E159" s="1"/>
    </row>
    <row r="160" spans="1:5" ht="29.25" customHeight="1" x14ac:dyDescent="0.2">
      <c r="A160" s="8">
        <f t="shared" si="6"/>
        <v>3492600</v>
      </c>
      <c r="B160" s="8"/>
      <c r="C160" s="8"/>
      <c r="D160" s="1"/>
      <c r="E160" s="1"/>
    </row>
    <row r="161" spans="1:5" ht="29.25" customHeight="1" x14ac:dyDescent="0.2">
      <c r="A161" s="8">
        <f t="shared" si="6"/>
        <v>3492600</v>
      </c>
      <c r="B161" s="8"/>
      <c r="C161" s="8"/>
      <c r="D161" s="1"/>
      <c r="E161" s="1"/>
    </row>
    <row r="162" spans="1:5" ht="29.25" customHeight="1" x14ac:dyDescent="0.2">
      <c r="A162" s="8">
        <f t="shared" si="6"/>
        <v>3492600</v>
      </c>
      <c r="B162" s="8"/>
      <c r="C162" s="8"/>
      <c r="D162" s="1"/>
      <c r="E162" s="1"/>
    </row>
    <row r="163" spans="1:5" ht="29.25" customHeight="1" x14ac:dyDescent="0.2">
      <c r="A163" s="8">
        <f t="shared" si="6"/>
        <v>3492600</v>
      </c>
      <c r="B163" s="8"/>
      <c r="C163" s="8"/>
      <c r="D163" s="1"/>
      <c r="E163" s="1"/>
    </row>
    <row r="164" spans="1:5" ht="29.25" customHeight="1" x14ac:dyDescent="0.2">
      <c r="A164" s="8">
        <f t="shared" si="6"/>
        <v>3492600</v>
      </c>
      <c r="B164" s="8"/>
      <c r="C164" s="8"/>
      <c r="D164" s="1"/>
      <c r="E164" s="1"/>
    </row>
    <row r="165" spans="1:5" ht="29.25" customHeight="1" x14ac:dyDescent="0.2">
      <c r="A165" s="9"/>
      <c r="B165" s="9">
        <f>SUM(B145:B164)+B139</f>
        <v>15893600</v>
      </c>
      <c r="C165" s="9">
        <f>SUM(C145:C164)+C139</f>
        <v>12401000</v>
      </c>
    </row>
    <row r="166" spans="1:5" ht="29.25" customHeight="1" x14ac:dyDescent="0.2"/>
    <row r="167" spans="1:5" ht="29.25" customHeight="1" x14ac:dyDescent="0.3">
      <c r="B167" s="10">
        <f>A164</f>
        <v>3492600</v>
      </c>
      <c r="C167" s="15" t="s">
        <v>172</v>
      </c>
      <c r="D167" s="15"/>
    </row>
    <row r="168" spans="1:5" ht="29.25" customHeight="1" x14ac:dyDescent="0.2">
      <c r="B168" t="s">
        <v>58</v>
      </c>
      <c r="D168" t="s">
        <v>57</v>
      </c>
    </row>
    <row r="169" spans="1:5" ht="29.25" customHeight="1" x14ac:dyDescent="0.2"/>
    <row r="170" spans="1:5" ht="29.25" customHeight="1" x14ac:dyDescent="0.2"/>
    <row r="171" spans="1:5" ht="29.25" customHeight="1" x14ac:dyDescent="0.2"/>
    <row r="172" spans="1:5" ht="29.25" customHeight="1" x14ac:dyDescent="0.2"/>
    <row r="173" spans="1:5" ht="29.25" customHeight="1" x14ac:dyDescent="0.2"/>
    <row r="174" spans="1:5" ht="29.25" customHeight="1" x14ac:dyDescent="0.2"/>
    <row r="175" spans="1:5" ht="29.25" customHeight="1" x14ac:dyDescent="0.2"/>
    <row r="176" spans="1:5" ht="29.25" customHeight="1" x14ac:dyDescent="0.2"/>
    <row r="177" ht="29.25" customHeight="1" x14ac:dyDescent="0.2"/>
    <row r="178" ht="29.25" customHeight="1" x14ac:dyDescent="0.2"/>
    <row r="179" ht="29.25" customHeight="1" x14ac:dyDescent="0.2"/>
    <row r="180" ht="29.25" customHeight="1" x14ac:dyDescent="0.2"/>
    <row r="181" ht="29.25" customHeight="1" x14ac:dyDescent="0.2"/>
    <row r="182" ht="29.25" customHeight="1" x14ac:dyDescent="0.2"/>
    <row r="183" ht="29.25" customHeight="1" x14ac:dyDescent="0.2"/>
    <row r="184" ht="29.25" customHeight="1" x14ac:dyDescent="0.2"/>
    <row r="185" ht="29.25" customHeight="1" x14ac:dyDescent="0.2"/>
    <row r="186" ht="29.25" customHeight="1" x14ac:dyDescent="0.2"/>
    <row r="187" ht="29.25" customHeight="1" x14ac:dyDescent="0.2"/>
    <row r="188" ht="29.25" customHeight="1" x14ac:dyDescent="0.2"/>
    <row r="189" ht="29.25" customHeight="1" x14ac:dyDescent="0.2"/>
    <row r="190" ht="29.25" customHeight="1" x14ac:dyDescent="0.2"/>
    <row r="191" ht="29.25" customHeight="1" x14ac:dyDescent="0.2"/>
    <row r="192" ht="29.25" customHeight="1" x14ac:dyDescent="0.2"/>
    <row r="193" ht="29.25" customHeight="1" x14ac:dyDescent="0.2"/>
    <row r="194" ht="29.25" customHeight="1" x14ac:dyDescent="0.2"/>
    <row r="195" ht="29.25" customHeight="1" x14ac:dyDescent="0.2"/>
    <row r="196" ht="29.25" customHeight="1" x14ac:dyDescent="0.2"/>
    <row r="197" ht="29.25" customHeight="1" x14ac:dyDescent="0.2"/>
    <row r="198" ht="29.25" customHeight="1" x14ac:dyDescent="0.2"/>
    <row r="199" ht="29.25" customHeight="1" x14ac:dyDescent="0.2"/>
    <row r="200" ht="29.25" customHeight="1" x14ac:dyDescent="0.2"/>
    <row r="201" ht="29.25" customHeight="1" x14ac:dyDescent="0.2"/>
    <row r="202" ht="29.25" customHeight="1" x14ac:dyDescent="0.2"/>
    <row r="203" ht="29.25" customHeight="1" x14ac:dyDescent="0.2"/>
    <row r="204" ht="29.25" customHeight="1" x14ac:dyDescent="0.2"/>
    <row r="205" ht="29.25" customHeight="1" x14ac:dyDescent="0.2"/>
    <row r="206" ht="29.25" customHeight="1" x14ac:dyDescent="0.2"/>
    <row r="207" ht="29.25" customHeight="1" x14ac:dyDescent="0.2"/>
    <row r="208" ht="29.25" customHeight="1" x14ac:dyDescent="0.2"/>
    <row r="209" ht="29.25" customHeight="1" x14ac:dyDescent="0.2"/>
    <row r="210" ht="29.25" customHeight="1" x14ac:dyDescent="0.2"/>
    <row r="211" ht="29.25" customHeight="1" x14ac:dyDescent="0.2"/>
    <row r="212" ht="29.25" customHeight="1" x14ac:dyDescent="0.2"/>
    <row r="213" ht="29.25" customHeight="1" x14ac:dyDescent="0.2"/>
    <row r="214" ht="29.25" customHeight="1" x14ac:dyDescent="0.2"/>
    <row r="215" ht="29.25" customHeight="1" x14ac:dyDescent="0.2"/>
    <row r="216" ht="29.25" customHeight="1" x14ac:dyDescent="0.2"/>
    <row r="217" ht="29.25" customHeight="1" x14ac:dyDescent="0.2"/>
    <row r="218" ht="29.25" customHeight="1" x14ac:dyDescent="0.2"/>
    <row r="219" ht="29.25" customHeight="1" x14ac:dyDescent="0.2"/>
    <row r="220" ht="29.25" customHeight="1" x14ac:dyDescent="0.2"/>
    <row r="221" ht="29.25" customHeight="1" x14ac:dyDescent="0.2"/>
    <row r="222" ht="29.25" customHeight="1" x14ac:dyDescent="0.2"/>
    <row r="223" ht="29.25" customHeight="1" x14ac:dyDescent="0.2"/>
    <row r="224" ht="29.25" customHeight="1" x14ac:dyDescent="0.2"/>
    <row r="225" ht="29.25" customHeight="1" x14ac:dyDescent="0.2"/>
    <row r="226" ht="29.25" customHeight="1" x14ac:dyDescent="0.2"/>
    <row r="227" ht="29.25" customHeight="1" x14ac:dyDescent="0.2"/>
    <row r="228" ht="29.25" customHeight="1" x14ac:dyDescent="0.2"/>
    <row r="229" ht="29.25" customHeight="1" x14ac:dyDescent="0.2"/>
    <row r="230" ht="29.25" customHeight="1" x14ac:dyDescent="0.2"/>
    <row r="231" ht="29.25" customHeight="1" x14ac:dyDescent="0.2"/>
    <row r="232" ht="29.25" customHeight="1" x14ac:dyDescent="0.2"/>
    <row r="233" ht="29.25" customHeight="1" x14ac:dyDescent="0.2"/>
    <row r="234" ht="29.25" customHeight="1" x14ac:dyDescent="0.2"/>
    <row r="235" ht="29.25" customHeight="1" x14ac:dyDescent="0.2"/>
    <row r="236" ht="29.25" customHeight="1" x14ac:dyDescent="0.2"/>
    <row r="237" ht="29.25" customHeight="1" x14ac:dyDescent="0.2"/>
    <row r="238" ht="29.25" customHeight="1" x14ac:dyDescent="0.2"/>
    <row r="239" ht="29.25" customHeight="1" x14ac:dyDescent="0.2"/>
    <row r="240" ht="29.25" customHeight="1" x14ac:dyDescent="0.2"/>
    <row r="241" ht="29.25" customHeight="1" x14ac:dyDescent="0.2"/>
    <row r="242" ht="29.25" customHeight="1" x14ac:dyDescent="0.2"/>
    <row r="243" ht="29.25" customHeight="1" x14ac:dyDescent="0.2"/>
    <row r="244" ht="29.25" customHeight="1" x14ac:dyDescent="0.2"/>
    <row r="245" ht="29.25" customHeight="1" x14ac:dyDescent="0.2"/>
    <row r="246" ht="29.25" customHeight="1" x14ac:dyDescent="0.2"/>
    <row r="247" ht="29.25" customHeight="1" x14ac:dyDescent="0.2"/>
    <row r="248" ht="29.25" customHeight="1" x14ac:dyDescent="0.2"/>
    <row r="249" ht="29.25" customHeight="1" x14ac:dyDescent="0.2"/>
    <row r="250" ht="29.25" customHeight="1" x14ac:dyDescent="0.2"/>
    <row r="251" ht="29.25" customHeight="1" x14ac:dyDescent="0.2"/>
    <row r="252" ht="29.25" customHeight="1" x14ac:dyDescent="0.2"/>
    <row r="253" ht="29.25" customHeight="1" x14ac:dyDescent="0.2"/>
    <row r="254" ht="29.25" customHeight="1" x14ac:dyDescent="0.2"/>
    <row r="255" ht="29.25" customHeight="1" x14ac:dyDescent="0.2"/>
    <row r="256" ht="29.25" customHeight="1" x14ac:dyDescent="0.2"/>
    <row r="257" ht="29.25" customHeight="1" x14ac:dyDescent="0.2"/>
    <row r="258" ht="29.25" customHeight="1" x14ac:dyDescent="0.2"/>
    <row r="259" ht="29.25" customHeight="1" x14ac:dyDescent="0.2"/>
    <row r="260" ht="29.25" customHeight="1" x14ac:dyDescent="0.2"/>
    <row r="261" ht="29.25" customHeight="1" x14ac:dyDescent="0.2"/>
    <row r="262" ht="29.25" customHeight="1" x14ac:dyDescent="0.2"/>
    <row r="263" ht="29.25" customHeight="1" x14ac:dyDescent="0.2"/>
    <row r="264" ht="29.25" customHeight="1" x14ac:dyDescent="0.2"/>
    <row r="265" ht="29.25" customHeight="1" x14ac:dyDescent="0.2"/>
    <row r="266" ht="29.25" customHeight="1" x14ac:dyDescent="0.2"/>
  </sheetData>
  <mergeCells count="3">
    <mergeCell ref="C63:D63"/>
    <mergeCell ref="C141:D141"/>
    <mergeCell ref="C167:D167"/>
  </mergeCells>
  <conditionalFormatting sqref="B63">
    <cfRule type="cellIs" dxfId="14" priority="17" operator="lessThanOrEqual">
      <formula>0</formula>
    </cfRule>
    <cfRule type="cellIs" priority="18" operator="lessThanOrEqual">
      <formula>0</formula>
    </cfRule>
    <cfRule type="cellIs" dxfId="13" priority="19" operator="greaterThan">
      <formula>0</formula>
    </cfRule>
    <cfRule type="cellIs" dxfId="12" priority="20" operator="lessThan">
      <formula>0</formula>
    </cfRule>
  </conditionalFormatting>
  <conditionalFormatting sqref="B89">
    <cfRule type="cellIs" dxfId="11" priority="13" operator="lessThanOrEqual">
      <formula>0</formula>
    </cfRule>
    <cfRule type="cellIs" priority="14" operator="lessThanOrEqual">
      <formula>0</formula>
    </cfRule>
    <cfRule type="cellIs" dxfId="10" priority="15" operator="greaterThan">
      <formula>0</formula>
    </cfRule>
    <cfRule type="cellIs" dxfId="9" priority="16" operator="lessThan">
      <formula>0</formula>
    </cfRule>
  </conditionalFormatting>
  <conditionalFormatting sqref="B115">
    <cfRule type="cellIs" dxfId="8" priority="9" operator="lessThanOrEqual">
      <formula>0</formula>
    </cfRule>
    <cfRule type="cellIs" priority="10" operator="lessThanOrEqual">
      <formula>0</formula>
    </cfRule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B141">
    <cfRule type="cellIs" dxfId="5" priority="5" operator="lessThanOrEqual">
      <formula>0</formula>
    </cfRule>
    <cfRule type="cellIs" priority="6" operator="lessThanOrEqual">
      <formula>0</formula>
    </cfRule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B167">
    <cfRule type="cellIs" dxfId="2" priority="1" operator="lessThanOrEqual">
      <formula>0</formula>
    </cfRule>
    <cfRule type="cellIs" priority="2" operator="lessThanOr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2026-10-20T16:53:50Z</dcterms:modified>
</cp:coreProperties>
</file>