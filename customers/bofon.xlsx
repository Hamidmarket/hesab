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5" i="1" l="1"/>
  <c r="B165" i="1"/>
  <c r="A145" i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B167" i="1" s="1"/>
  <c r="H2" i="1" s="1"/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<sst xmlns="http://schemas.openxmlformats.org/spreadsheetml/2006/main" count="296" uniqueCount="203">
  <si>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</si>
  <si>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</si>
  <si>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</si>
  <si>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</si>
  <si>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</si>
  <si>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</si>
  <si>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</si>
  <si>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</si>
  <si>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</si>
  <si>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</si>
  <si>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</si>
  <si>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</si>
  <si>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</si>
  <si>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</si>
  <si>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</si>
  <si>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</si>
  <si>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</si>
  <si>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</si>
  <si>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</si>
  <si>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</si>
  <si>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</si>
  <si>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</si>
  <si>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</si>
  <si>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</si>
  <si>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</si>
  <si>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</si>
  <si>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</si>
  <si>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</si>
  <si>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</si>
  <si>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</si>
  <si>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</si>
  <si>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</si>
  <si>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</si>
  <si>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</si>
  <si>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</si>
  <si>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</si>
  <si>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</si>
  <si>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</si>
  <si>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</si>
  <si>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</si>
  <si>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</si>
  <si>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</si>
  <si>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</si>
  <si>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</si>
  <si>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</si>
  <si>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</si>
  <si>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</si>
  <si>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</si>
  <si>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</si>
  <si>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</si>
  <si>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</si>
  <si>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</si>
  <si>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</si>
  <si>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</si>
  <si>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</si>
  <si>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</si>
  <si>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</si>
  <si>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</si>
  <si>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</si>
  <si>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</si>
  <si>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</si>
  <si>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</si>
  <si>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</si>
  <si>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</si>
  <si>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</si>
  <si>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</si>
  <si>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</si>
  <si>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</si>
  <si>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</si>
  <si>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</si>
  <si>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</si>
  <si>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</si>
  <si>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</si>
  <si>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</si>
  <si>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</si>
  <si>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</si>
  <si>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</si>
  <si>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</si>
  <si>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</si>
  <si>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</si>
  <si>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</si>
  <si>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</si>
  <si>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</si>
  <si>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</si>
  <si>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</si>
  <si>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</si>
  <si>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</si>
  <si>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</si>
  <si>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</si>
  <si>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</si>
  <si>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</si>
  <si>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</si>
  <si>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</si>
  <si>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</si>
  <si>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</si>
  <si>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</si>
  <si>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</si>
  <si>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</si>
  <si>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</si>
  <si>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</si>
  <si>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</si>
  <si>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</si>
  <si>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</si>
  <si>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</si>
  <si>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</si>
  <si>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</si>
  <si>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</si>
  <si>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</si>
  <si>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</si>
  <si>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</si>
  <si>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</si>
  <si>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</si>
  <si>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</si>
  <si>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</si>
  <si>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</si>
  <si>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</si>
  <si>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</si>
  <si>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</si>
  <si>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</si>
  <si>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</si>
  <si>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</si>
  <si>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</si>
  <si>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</si>
  <si>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</si>
  <si>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</si>
  <si>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</si>
  <si>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</si>
  <si>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</si>
  <si>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</si>
  <si>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</si>
  <si>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</si>
  <si>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</si>
  <si>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</si>
  <si>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</si>
  <si>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</si>
  <si>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</si>
  <si>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</si>
  <si>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</si>
  <si>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</si>
  <si>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</si>
  <si>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</si>
  <si>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</si>
  <si>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</si>
  <si>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</si>
  <si>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</si>
  <si>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</si>
  <si>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</si>
  <si>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</si>
  <si>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</si>
  <si>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</si>
  <si>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</si>
  <si>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</si>
  <si>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</si>
  <si>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</si>
  <si>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</si>
  <si>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</si>
  <si>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</si>
  <si>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</si>
  <si>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</si>
  <si>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</si>
  <si>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</si>
  <si>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</si>
  <si>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</si>
  <si>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</si>
  <si>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</si>
  <si>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</si>
  <si>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</si>
  <si>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</si>
  <si>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</si>
  <si>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</si>
  <si>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</si>
  <si>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</si>
  <si>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</si>
  <si>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</si>
  <si>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</si>
  <si>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</si>
  <si>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</si>
  <si>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</si>
  <si>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</si>
  <si>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</si>
  <si>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</si>
  <si>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</si>
  <si>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</si>
  <si>
    <t>1405/05/18</t>
  </si>
  <si>
    <t>1405/05/30</t>
  </si>
  <si>
    <t>کیکدلستر سیگار نخی</t>
  </si>
  <si>
    <t>1405/06/05</t>
  </si>
  <si>
    <t>بستنی لیموناد</t>
  </si>
  <si>
    <t>1405/06/06</t>
  </si>
  <si>
    <t>الباقی سیگار پفک</t>
  </si>
  <si>
    <t>1405/06/07</t>
  </si>
  <si>
    <t>دنگ سوسیس خونه یاسین</t>
  </si>
  <si>
    <t>1405/06/24</t>
  </si>
  <si>
    <t>1405/06/25</t>
  </si>
  <si>
    <t>سیگار</t>
  </si>
  <si>
    <t>1405/06/27</t>
  </si>
  <si>
    <t>وجه عرق</t>
  </si>
  <si>
    <t>1405/07/02</t>
  </si>
  <si>
    <t>بستنی کیک</t>
  </si>
  <si>
    <t>1405/07/23</t>
  </si>
  <si>
    <t>بستنی</t>
  </si>
  <si>
    <t>1405/07/28</t>
  </si>
  <si>
    <t>1405/08/07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</si>
</sst>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6"/>
  <sheetViews>
    <sheetView tabSelected="1" topLeftCell="A145" zoomScaleNormal="100" workbookViewId="0">
      <selection activeCell="C156" sqref="C15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B167</f>
        <v>1492600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3">
      <c r="A117" t="s">
        <v>17</v>
      </c>
      <c r="B117" s="2" t="s">
        <v>0</v>
      </c>
    </row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2514600</v>
      </c>
      <c r="B137" s="8">
        <v>260000</v>
      </c>
      <c r="C137" s="8"/>
      <c r="D137" s="1" t="s">
        <v>65</v>
      </c>
      <c r="E137" s="1" t="s">
        <v>183</v>
      </c>
    </row>
    <row r="138" spans="1:5" ht="28.5" customHeight="1" x14ac:dyDescent="0.2">
      <c r="A138" s="8">
        <f t="shared" si="5"/>
        <v>2724600</v>
      </c>
      <c r="B138" s="8">
        <v>210000</v>
      </c>
      <c r="C138" s="8"/>
      <c r="D138" s="1" t="s">
        <v>185</v>
      </c>
      <c r="E138" s="1" t="s">
        <v>184</v>
      </c>
    </row>
    <row r="139" spans="1:5" ht="28.5" customHeight="1" x14ac:dyDescent="0.2">
      <c r="A139" s="9"/>
      <c r="B139" s="9">
        <f>SUM(B119:B138)+B113</f>
        <v>14625600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2724600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3">
      <c r="A143" t="s">
        <v>17</v>
      </c>
      <c r="B143" s="2" t="s">
        <v>0</v>
      </c>
    </row>
    <row r="144" spans="1:5" ht="28.5" customHeight="1" x14ac:dyDescent="0.35">
      <c r="A144" s="3" t="s">
        <v>4</v>
      </c>
      <c r="B144" s="4" t="s">
        <v>3</v>
      </c>
      <c r="C144" s="3" t="s">
        <v>1</v>
      </c>
      <c r="D144" s="5" t="s">
        <v>2</v>
      </c>
      <c r="E144" s="5" t="s">
        <v>7</v>
      </c>
    </row>
    <row r="145" spans="1:5" ht="28.5" customHeight="1" x14ac:dyDescent="0.2">
      <c r="A145" s="8">
        <f xml:space="preserve"> B141+B145-C145</f>
        <v>2924600</v>
      </c>
      <c r="B145" s="8">
        <v>200000</v>
      </c>
      <c r="C145" s="8"/>
      <c r="D145" s="1" t="s">
        <v>187</v>
      </c>
      <c r="E145" s="1" t="s">
        <v>186</v>
      </c>
    </row>
    <row r="146" spans="1:5" ht="28.5" customHeight="1" x14ac:dyDescent="0.2">
      <c r="A146" s="8">
        <f xml:space="preserve"> A145+B146-C146</f>
        <v>3074600</v>
      </c>
      <c r="B146" s="8">
        <v>150000</v>
      </c>
      <c r="C146" s="8"/>
      <c r="D146" s="1" t="s">
        <v>189</v>
      </c>
      <c r="E146" s="1" t="s">
        <v>188</v>
      </c>
    </row>
    <row r="147" spans="1:5" ht="28.5" customHeight="1" x14ac:dyDescent="0.2">
      <c r="A147" s="8">
        <f t="shared" ref="A147:A164" si="6" xml:space="preserve"> A146+B147-C147</f>
        <v>3190600</v>
      </c>
      <c r="B147" s="8">
        <v>116000</v>
      </c>
      <c r="C147" s="8"/>
      <c r="D147" s="1" t="s">
        <v>191</v>
      </c>
      <c r="E147" s="1" t="s">
        <v>190</v>
      </c>
    </row>
    <row r="148" spans="1:5" ht="28.5" customHeight="1" x14ac:dyDescent="0.2">
      <c r="A148" s="8">
        <f t="shared" si="6"/>
        <v>3302600</v>
      </c>
      <c r="B148" s="8">
        <v>112000</v>
      </c>
      <c r="C148" s="8"/>
      <c r="D148" s="1"/>
      <c r="E148" s="1" t="s">
        <v>192</v>
      </c>
    </row>
    <row r="149" spans="1:5" ht="28.5" customHeight="1" x14ac:dyDescent="0.2">
      <c r="A149" s="8">
        <f t="shared" si="6"/>
        <v>3452600</v>
      </c>
      <c r="B149" s="8">
        <v>150000</v>
      </c>
      <c r="C149" s="8"/>
      <c r="D149" s="1" t="s">
        <v>194</v>
      </c>
      <c r="E149" s="1" t="s">
        <v>193</v>
      </c>
    </row>
    <row r="150" spans="1:5" ht="28.5" customHeight="1" x14ac:dyDescent="0.2">
      <c r="A150" s="8">
        <f t="shared" si="6"/>
        <v>2952600</v>
      </c>
      <c r="B150" s="8"/>
      <c r="C150" s="8">
        <v>500000</v>
      </c>
      <c r="D150" s="1" t="s">
        <v>196</v>
      </c>
      <c r="E150" s="1" t="s">
        <v>195</v>
      </c>
    </row>
    <row r="151" spans="1:5" ht="28.5" customHeight="1" x14ac:dyDescent="0.2">
      <c r="A151" s="8">
        <f t="shared" si="6"/>
        <v>3102600</v>
      </c>
      <c r="B151" s="8">
        <v>150000</v>
      </c>
      <c r="C151" s="8"/>
      <c r="D151" s="1" t="s">
        <v>194</v>
      </c>
      <c r="E151" s="1"/>
    </row>
    <row r="152" spans="1:5" ht="28.5" customHeight="1" x14ac:dyDescent="0.2">
      <c r="A152" s="8">
        <f t="shared" si="6"/>
        <v>3282600</v>
      </c>
      <c r="B152" s="8">
        <v>180000</v>
      </c>
      <c r="C152" s="8"/>
      <c r="D152" s="1" t="s">
        <v>198</v>
      </c>
      <c r="E152" s="1" t="s">
        <v>197</v>
      </c>
    </row>
    <row r="153" spans="1:5" ht="28.5" customHeight="1" x14ac:dyDescent="0.2">
      <c r="A153" s="8">
        <f t="shared" si="6"/>
        <v>3342600</v>
      </c>
      <c r="B153" s="8">
        <v>60000</v>
      </c>
      <c r="C153" s="8"/>
      <c r="D153" s="1" t="s">
        <v>200</v>
      </c>
      <c r="E153" s="1" t="s">
        <v>199</v>
      </c>
    </row>
    <row r="154" spans="1:5" ht="29.25" customHeight="1" x14ac:dyDescent="0.2">
      <c r="A154" s="8">
        <f t="shared" si="6"/>
        <v>3492600</v>
      </c>
      <c r="B154" s="8">
        <v>150000</v>
      </c>
      <c r="C154" s="8"/>
      <c r="D154" s="1" t="s">
        <v>198</v>
      </c>
      <c r="E154" s="1" t="s">
        <v>201</v>
      </c>
    </row>
    <row r="155" spans="1:5" ht="29.25" customHeight="1" x14ac:dyDescent="0.2">
      <c r="A155" s="8">
        <f t="shared" si="6"/>
        <v>1492600</v>
      </c>
      <c r="B155" s="8"/>
      <c r="C155" s="8">
        <v>2000000</v>
      </c>
      <c r="D155" s="1" t="s">
        <v>40</v>
      </c>
      <c r="E155" s="1" t="s">
        <v>202</v>
      </c>
    </row>
    <row r="156" spans="1:5" ht="29.25" customHeight="1" x14ac:dyDescent="0.2">
      <c r="A156" s="8">
        <f t="shared" si="6"/>
        <v>1492600</v>
      </c>
      <c r="B156" s="8"/>
      <c r="C156" s="8"/>
      <c r="D156" s="1"/>
      <c r="E156" s="1"/>
    </row>
    <row r="157" spans="1:5" ht="29.25" customHeight="1" x14ac:dyDescent="0.2">
      <c r="A157" s="8">
        <f t="shared" si="6"/>
        <v>1492600</v>
      </c>
      <c r="B157" s="8"/>
      <c r="C157" s="8"/>
      <c r="D157" s="1"/>
      <c r="E157" s="1"/>
    </row>
    <row r="158" spans="1:5" ht="29.25" customHeight="1" x14ac:dyDescent="0.2">
      <c r="A158" s="8">
        <f t="shared" si="6"/>
        <v>1492600</v>
      </c>
      <c r="B158" s="8"/>
      <c r="C158" s="8"/>
      <c r="D158" s="1"/>
      <c r="E158" s="1"/>
    </row>
    <row r="159" spans="1:5" ht="29.25" customHeight="1" x14ac:dyDescent="0.2">
      <c r="A159" s="8">
        <f t="shared" si="6"/>
        <v>1492600</v>
      </c>
      <c r="B159" s="8"/>
      <c r="C159" s="8"/>
      <c r="D159" s="1"/>
      <c r="E159" s="1"/>
    </row>
    <row r="160" spans="1:5" ht="29.25" customHeight="1" x14ac:dyDescent="0.2">
      <c r="A160" s="8">
        <f t="shared" si="6"/>
        <v>1492600</v>
      </c>
      <c r="B160" s="8"/>
      <c r="C160" s="8"/>
      <c r="D160" s="1"/>
      <c r="E160" s="1"/>
    </row>
    <row r="161" spans="1:5" ht="29.25" customHeight="1" x14ac:dyDescent="0.2">
      <c r="A161" s="8">
        <f t="shared" si="6"/>
        <v>1492600</v>
      </c>
      <c r="B161" s="8"/>
      <c r="C161" s="8"/>
      <c r="D161" s="1"/>
      <c r="E161" s="1"/>
    </row>
    <row r="162" spans="1:5" ht="29.25" customHeight="1" x14ac:dyDescent="0.2">
      <c r="A162" s="8">
        <f t="shared" si="6"/>
        <v>1492600</v>
      </c>
      <c r="B162" s="8"/>
      <c r="C162" s="8"/>
      <c r="D162" s="1"/>
      <c r="E162" s="1"/>
    </row>
    <row r="163" spans="1:5" ht="29.25" customHeight="1" x14ac:dyDescent="0.2">
      <c r="A163" s="8">
        <f t="shared" si="6"/>
        <v>1492600</v>
      </c>
      <c r="B163" s="8"/>
      <c r="C163" s="8"/>
      <c r="D163" s="1"/>
      <c r="E163" s="1"/>
    </row>
    <row r="164" spans="1:5" ht="29.25" customHeight="1" x14ac:dyDescent="0.2">
      <c r="A164" s="8">
        <f t="shared" si="6"/>
        <v>1492600</v>
      </c>
      <c r="B164" s="8"/>
      <c r="C164" s="8"/>
      <c r="D164" s="1"/>
      <c r="E164" s="1"/>
    </row>
    <row r="165" spans="1:5" ht="29.25" customHeight="1" x14ac:dyDescent="0.2">
      <c r="A165" s="9"/>
      <c r="B165" s="9">
        <f>SUM(B145:B164)+B139</f>
        <v>15893600</v>
      </c>
      <c r="C165" s="9">
        <f>SUM(C145:C164)+C139</f>
        <v>14401000</v>
      </c>
    </row>
    <row r="166" spans="1:5" ht="29.25" customHeight="1" x14ac:dyDescent="0.2"/>
    <row r="167" spans="1:5" ht="29.25" customHeight="1" x14ac:dyDescent="0.3">
      <c r="B167" s="10">
        <f>A164</f>
        <v>1492600</v>
      </c>
      <c r="C167" s="15" t="s">
        <v>172</v>
      </c>
      <c r="D167" s="15"/>
    </row>
    <row r="168" spans="1:5" ht="29.25" customHeight="1" x14ac:dyDescent="0.2">
      <c r="B168" t="s">
        <v>58</v>
      </c>
      <c r="D168" t="s">
        <v>57</v>
      </c>
    </row>
    <row r="169" spans="1:5" ht="29.25" customHeight="1" x14ac:dyDescent="0.2"/>
    <row r="170" spans="1:5" ht="29.25" customHeight="1" x14ac:dyDescent="0.2"/>
    <row r="171" spans="1:5" ht="29.25" customHeight="1" x14ac:dyDescent="0.2"/>
    <row r="172" spans="1:5" ht="29.25" customHeight="1" x14ac:dyDescent="0.2"/>
    <row r="173" spans="1:5" ht="29.25" customHeight="1" x14ac:dyDescent="0.2"/>
    <row r="174" spans="1:5" ht="29.25" customHeight="1" x14ac:dyDescent="0.2"/>
    <row r="175" spans="1:5" ht="29.25" customHeight="1" x14ac:dyDescent="0.2"/>
    <row r="176" spans="1:5" ht="29.25" customHeight="1" x14ac:dyDescent="0.2"/>
    <row r="177" ht="29.25" customHeight="1" x14ac:dyDescent="0.2"/>
    <row r="178" ht="29.25" customHeight="1" x14ac:dyDescent="0.2"/>
    <row r="179" ht="29.25" customHeight="1" x14ac:dyDescent="0.2"/>
    <row r="180" ht="29.25" customHeight="1" x14ac:dyDescent="0.2"/>
    <row r="181" ht="29.25" customHeight="1" x14ac:dyDescent="0.2"/>
    <row r="182" ht="29.25" customHeight="1" x14ac:dyDescent="0.2"/>
    <row r="183" ht="29.25" customHeight="1" x14ac:dyDescent="0.2"/>
    <row r="184" ht="29.25" customHeight="1" x14ac:dyDescent="0.2"/>
    <row r="185" ht="29.25" customHeight="1" x14ac:dyDescent="0.2"/>
    <row r="186" ht="29.25" customHeight="1" x14ac:dyDescent="0.2"/>
    <row r="187" ht="29.25" customHeight="1" x14ac:dyDescent="0.2"/>
    <row r="188" ht="29.25" customHeight="1" x14ac:dyDescent="0.2"/>
    <row r="189" ht="29.25" customHeight="1" x14ac:dyDescent="0.2"/>
    <row r="190" ht="29.25" customHeight="1" x14ac:dyDescent="0.2"/>
    <row r="191" ht="29.25" customHeight="1" x14ac:dyDescent="0.2"/>
    <row r="192" ht="29.25" customHeight="1" x14ac:dyDescent="0.2"/>
    <row r="193" ht="29.25" customHeight="1" x14ac:dyDescent="0.2"/>
    <row r="194" ht="29.25" customHeight="1" x14ac:dyDescent="0.2"/>
    <row r="195" ht="29.25" customHeight="1" x14ac:dyDescent="0.2"/>
    <row r="196" ht="29.25" customHeight="1" x14ac:dyDescent="0.2"/>
    <row r="197" ht="29.25" customHeight="1" x14ac:dyDescent="0.2"/>
    <row r="198" ht="29.25" customHeight="1" x14ac:dyDescent="0.2"/>
    <row r="199" ht="29.25" customHeight="1" x14ac:dyDescent="0.2"/>
    <row r="200" ht="29.25" customHeight="1" x14ac:dyDescent="0.2"/>
    <row r="201" ht="29.25" customHeight="1" x14ac:dyDescent="0.2"/>
    <row r="202" ht="29.25" customHeight="1" x14ac:dyDescent="0.2"/>
    <row r="203" ht="29.25" customHeight="1" x14ac:dyDescent="0.2"/>
    <row r="204" ht="29.25" customHeight="1" x14ac:dyDescent="0.2"/>
    <row r="205" ht="29.25" customHeight="1" x14ac:dyDescent="0.2"/>
    <row r="206" ht="29.25" customHeight="1" x14ac:dyDescent="0.2"/>
    <row r="207" ht="29.25" customHeight="1" x14ac:dyDescent="0.2"/>
    <row r="208" ht="29.25" customHeight="1" x14ac:dyDescent="0.2"/>
    <row r="209" ht="29.25" customHeight="1" x14ac:dyDescent="0.2"/>
    <row r="210" ht="29.25" customHeight="1" x14ac:dyDescent="0.2"/>
    <row r="211" ht="29.25" customHeight="1" x14ac:dyDescent="0.2"/>
    <row r="212" ht="29.25" customHeight="1" x14ac:dyDescent="0.2"/>
    <row r="213" ht="29.25" customHeight="1" x14ac:dyDescent="0.2"/>
    <row r="214" ht="29.25" customHeight="1" x14ac:dyDescent="0.2"/>
    <row r="215" ht="29.25" customHeight="1" x14ac:dyDescent="0.2"/>
    <row r="216" ht="29.25" customHeight="1" x14ac:dyDescent="0.2"/>
    <row r="217" ht="29.25" customHeight="1" x14ac:dyDescent="0.2"/>
    <row r="218" ht="29.25" customHeight="1" x14ac:dyDescent="0.2"/>
    <row r="219" ht="29.25" customHeight="1" x14ac:dyDescent="0.2"/>
    <row r="220" ht="29.25" customHeight="1" x14ac:dyDescent="0.2"/>
    <row r="221" ht="29.25" customHeight="1" x14ac:dyDescent="0.2"/>
    <row r="222" ht="29.25" customHeight="1" x14ac:dyDescent="0.2"/>
    <row r="223" ht="29.25" customHeight="1" x14ac:dyDescent="0.2"/>
    <row r="224" ht="29.25" customHeight="1" x14ac:dyDescent="0.2"/>
    <row r="225" ht="29.25" customHeight="1" x14ac:dyDescent="0.2"/>
    <row r="226" ht="29.25" customHeight="1" x14ac:dyDescent="0.2"/>
    <row r="227" ht="29.25" customHeight="1" x14ac:dyDescent="0.2"/>
    <row r="228" ht="29.25" customHeight="1" x14ac:dyDescent="0.2"/>
    <row r="229" ht="29.25" customHeight="1" x14ac:dyDescent="0.2"/>
    <row r="230" ht="29.25" customHeight="1" x14ac:dyDescent="0.2"/>
    <row r="231" ht="29.25" customHeight="1" x14ac:dyDescent="0.2"/>
    <row r="232" ht="29.25" customHeight="1" x14ac:dyDescent="0.2"/>
    <row r="233" ht="29.25" customHeight="1" x14ac:dyDescent="0.2"/>
    <row r="234" ht="29.25" customHeight="1" x14ac:dyDescent="0.2"/>
    <row r="235" ht="29.25" customHeight="1" x14ac:dyDescent="0.2"/>
    <row r="236" ht="29.25" customHeight="1" x14ac:dyDescent="0.2"/>
    <row r="237" ht="29.25" customHeight="1" x14ac:dyDescent="0.2"/>
    <row r="238" ht="29.25" customHeight="1" x14ac:dyDescent="0.2"/>
    <row r="239" ht="29.25" customHeight="1" x14ac:dyDescent="0.2"/>
    <row r="240" ht="29.25" customHeight="1" x14ac:dyDescent="0.2"/>
    <row r="241" ht="29.25" customHeight="1" x14ac:dyDescent="0.2"/>
    <row r="242" ht="29.25" customHeight="1" x14ac:dyDescent="0.2"/>
    <row r="243" ht="29.25" customHeight="1" x14ac:dyDescent="0.2"/>
    <row r="244" ht="29.25" customHeight="1" x14ac:dyDescent="0.2"/>
    <row r="245" ht="29.25" customHeight="1" x14ac:dyDescent="0.2"/>
    <row r="246" ht="29.25" customHeight="1" x14ac:dyDescent="0.2"/>
    <row r="247" ht="29.25" customHeight="1" x14ac:dyDescent="0.2"/>
    <row r="248" ht="29.25" customHeight="1" x14ac:dyDescent="0.2"/>
    <row r="249" ht="29.25" customHeight="1" x14ac:dyDescent="0.2"/>
    <row r="250" ht="29.25" customHeight="1" x14ac:dyDescent="0.2"/>
    <row r="251" ht="29.25" customHeight="1" x14ac:dyDescent="0.2"/>
    <row r="252" ht="29.25" customHeight="1" x14ac:dyDescent="0.2"/>
    <row r="253" ht="29.25" customHeight="1" x14ac:dyDescent="0.2"/>
    <row r="254" ht="29.25" customHeight="1" x14ac:dyDescent="0.2"/>
    <row r="255" ht="29.25" customHeight="1" x14ac:dyDescent="0.2"/>
    <row r="256" ht="29.25" customHeight="1" x14ac:dyDescent="0.2"/>
    <row r="257" ht="29.25" customHeight="1" x14ac:dyDescent="0.2"/>
    <row r="258" ht="29.25" customHeight="1" x14ac:dyDescent="0.2"/>
    <row r="259" ht="29.25" customHeight="1" x14ac:dyDescent="0.2"/>
    <row r="260" ht="29.25" customHeight="1" x14ac:dyDescent="0.2"/>
    <row r="261" ht="29.25" customHeight="1" x14ac:dyDescent="0.2"/>
    <row r="262" ht="29.25" customHeight="1" x14ac:dyDescent="0.2"/>
    <row r="263" ht="29.25" customHeight="1" x14ac:dyDescent="0.2"/>
    <row r="264" ht="29.25" customHeight="1" x14ac:dyDescent="0.2"/>
    <row r="265" ht="29.25" customHeight="1" x14ac:dyDescent="0.2"/>
    <row r="266" ht="29.25" customHeight="1" x14ac:dyDescent="0.2"/>
  </sheetData>
  <mergeCells count="3">
    <mergeCell ref="C63:D63"/>
    <mergeCell ref="C141:D141"/>
    <mergeCell ref="C167:D167"/>
  </mergeCells>
  <conditionalFormatting sqref="B63">
    <cfRule type="cellIs" dxfId="14" priority="17" operator="lessThanOrEqual">
      <formula>0</formula>
    </cfRule>
    <cfRule type="cellIs" priority="18" operator="lessThanOrEqual">
      <formula>0</formula>
    </cfRule>
    <cfRule type="cellIs" dxfId="13" priority="19" operator="greaterThan">
      <formula>0</formula>
    </cfRule>
    <cfRule type="cellIs" dxfId="12" priority="20" operator="lessThan">
      <formula>0</formula>
    </cfRule>
  </conditionalFormatting>
  <conditionalFormatting sqref="B89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115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41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67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2026-10-29T17:23:40Z</dcterms:modified>
</cp:coreProperties>
</file>