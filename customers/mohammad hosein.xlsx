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9" i="1" l="1"/>
  <c r="C259" i="1"/>
  <c r="B259" i="1"/>
  <c r="A240" i="1"/>
  <c r="A241" i="1" s="1"/>
  <c r="A242" i="1" s="1"/>
  <c r="A243" i="1" s="1"/>
  <c r="A244" i="1" l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B261" i="1" s="1"/>
  <c r="H2" i="1" s="1"/>
  <c r="C232" i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<sst xmlns="http://schemas.openxmlformats.org/spreadsheetml/2006/main" count="442" uniqueCount="264">
  <si>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</si>
  <si>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</si>
  <si>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</si>
  <si>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</si>
  <si>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</si>
  <si>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</si>
  <si>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</si>
  <si>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</si>
  <si>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</si>
  <si>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</si>
  <si>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</si>
  <si>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</si>
  <si>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</si>
  <si>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</si>
  <si>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</si>
  <si>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</si>
  <si>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</si>
  <si>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</si>
  <si>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</si>
  <si>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</si>
  <si>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</si>
  <si>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</si>
  <si>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</si>
  <si>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</si>
  <si>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</si>
  <si>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</si>
  <si>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</si>
  <si>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</si>
  <si>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</si>
  <si>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</si>
  <si>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</si>
  <si>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</si>
  <si>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</si>
  <si>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</si>
  <si>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</si>
  <si>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</si>
  <si>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</si>
  <si>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</si>
  <si>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</si>
  <si>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</si>
  <si>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</si>
  <si>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</si>
  <si>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</si>
  <si>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</si>
  <si>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</si>
  <si>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</si>
  <si>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</si>
  <si>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</si>
  <si>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</si>
  <si>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</si>
  <si>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</si>
  <si>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</si>
  <si>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</si>
  <si>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</si>
  <si>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</si>
  <si>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</si>
  <si>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</si>
  <si>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</si>
  <si>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</si>
  <si>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</si>
  <si>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</si>
  <si>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</si>
  <si>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</si>
  <si>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</si>
  <si>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</si>
  <si>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</si>
  <si>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</si>
  <si>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</si>
  <si>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</si>
  <si>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</si>
  <si>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</si>
  <si>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</si>
  <si>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</si>
  <si>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</si>
  <si>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</si>
  <si>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</si>
  <si>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</si>
  <si>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</si>
  <si>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</si>
  <si>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</si>
  <si>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</si>
  <si>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</si>
  <si>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</si>
  <si>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</si>
  <si>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</si>
  <si>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</si>
  <si>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</si>
  <si>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</si>
  <si>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</si>
  <si>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</si>
  <si>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</si>
  <si>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</si>
  <si>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</si>
  <si>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</si>
  <si>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</si>
  <si>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</si>
  <si>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</si>
  <si>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</si>
  <si>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</si>
  <si>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</si>
  <si>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</si>
  <si>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</si>
  <si>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</si>
  <si>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</si>
  <si>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</si>
  <si>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</si>
  <si>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</si>
  <si>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</si>
  <si>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</si>
  <si>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</si>
  <si>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</si>
  <si>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</si>
  <si>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</si>
  <si>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</si>
  <si>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</si>
  <si>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</si>
  <si>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</si>
  <si>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</si>
  <si>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</si>
  <si>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</si>
  <si>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</si>
  <si>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</si>
  <si>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</si>
  <si>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</si>
  <si>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</si>
  <si>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</si>
  <si>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</si>
  <si>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</si>
  <si>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</si>
  <si>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</si>
  <si>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</si>
  <si>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</si>
  <si>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</si>
  <si>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</si>
  <si>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</si>
  <si>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</si>
  <si>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</si>
  <si>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</si>
  <si>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</si>
  <si>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</si>
  <si>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</si>
  <si>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</si>
  <si>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</si>
  <si>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</si>
  <si>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</si>
  <si>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</si>
  <si>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</si>
  <si>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</si>
  <si>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</si>
  <si>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</si>
  <si>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</si>
  <si>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</si>
  <si>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</si>
  <si>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</si>
  <si>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</si>
  <si>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</si>
  <si>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</si>
  <si>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</si>
  <si>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</si>
  <si>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</si>
  <si>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</si>
  <si>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</si>
  <si>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</si>
  <si>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</si>
  <si>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</si>
  <si>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</si>
  <si>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</si>
  <si>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</si>
  <si>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</si>
  <si>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</si>
  <si>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</si>
  <si>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</si>
  <si>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</si>
  <si>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</si>
  <si>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</si>
  <si>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</si>
  <si>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</si>
  <si>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</si>
  <si>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</si>
  <si>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</si>
  <si>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</si>
  <si>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</si>
  <si>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</si>
  <si>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</si>
  <si>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</si>
  <si>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</si>
  <si>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</si>
  <si>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</si>
  <si>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</si>
  <si>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</si>
  <si>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</si>
  <si>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</si>
  <si>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</si>
  <si>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</si>
  <si>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</si>
  <si>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</si>
  <si>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</si>
  <si>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</si>
  <si>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</si>
  <si>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</si>
  <si>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</si>
  <si>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</si>
  <si>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</si>
  <si>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</si>
  <si>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</si>
  <si>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</si>
  <si>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</si>
  <si>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</si>
  <si>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</si>
  <si>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</si>
  <si>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</si>
  <si>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</si>
  <si>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</si>
  <si>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</si>
  <si>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</si>
  <si>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</si>
  <si>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</si>
  <si>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</si>
  <si>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</si>
  <si>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</si>
  <si>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</si>
  <si>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</si>
  <si>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</si>
  <si>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</si>
  <si>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</si>
  <si>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</si>
  <si>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</si>
  <si>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</si>
  <si>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</si>
  <si>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</si>
  <si>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</si>
  <si>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</si>
  <si>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</si>
  <si>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</si>
  <si>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</si>
  <si>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</si>
  <si>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</si>
  <si>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</si>
  <si>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</si>
  <si>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</si>
  <si>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</si>
  <si>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</si>
  <si>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</si>
  <si>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</si>
  <si>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</si>
  <si>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</si>
  <si>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</si>
  <si>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</si>
  <si>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</si>
  <si>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</si>
  <si>
    <t>1405/04/24</t>
  </si>
  <si>
    <t>1405/04/26</t>
  </si>
  <si>
    <t xml:space="preserve">الباقی قهوه </t>
  </si>
  <si>
    <t>1405/04/27</t>
  </si>
  <si>
    <t>1405/04/29</t>
  </si>
  <si>
    <t xml:space="preserve">وچه </t>
  </si>
  <si>
    <t>1405/05/01</t>
  </si>
  <si>
    <t>1405/05/09</t>
  </si>
  <si>
    <t>1405/05/11</t>
  </si>
  <si>
    <t>تاینی های بای</t>
  </si>
  <si>
    <t>1405/05/13</t>
  </si>
  <si>
    <t>گول بازی مزه باغ دامو</t>
  </si>
  <si>
    <t>1405/05/23</t>
  </si>
  <si>
    <t>1405/05/26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</si>
</sst>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tabSelected="1" topLeftCell="A233" zoomScaleNormal="100" workbookViewId="0">
      <selection activeCell="E242" sqref="E242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B261</f>
        <v>5379005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4364000</v>
      </c>
      <c r="B222" s="8">
        <v>46000</v>
      </c>
      <c r="C222" s="8"/>
      <c r="D222" s="8" t="s">
        <v>222</v>
      </c>
      <c r="E222" s="1" t="s">
        <v>250</v>
      </c>
    </row>
    <row r="223" spans="1:5" ht="27" customHeight="1" x14ac:dyDescent="0.2">
      <c r="A223" s="8">
        <f t="shared" si="12"/>
        <v>4424000</v>
      </c>
      <c r="B223" s="8">
        <v>60000</v>
      </c>
      <c r="C223" s="8"/>
      <c r="D223" s="8" t="s">
        <v>252</v>
      </c>
      <c r="E223" s="1" t="s">
        <v>251</v>
      </c>
    </row>
    <row r="224" spans="1:5" ht="27" customHeight="1" x14ac:dyDescent="0.2">
      <c r="A224" s="8">
        <f t="shared" si="12"/>
        <v>4494000</v>
      </c>
      <c r="B224" s="8">
        <v>70000</v>
      </c>
      <c r="C224" s="8"/>
      <c r="D224" s="8" t="s">
        <v>35</v>
      </c>
      <c r="E224" s="1" t="s">
        <v>253</v>
      </c>
    </row>
    <row r="225" spans="1:5" ht="27" customHeight="1" x14ac:dyDescent="0.2">
      <c r="A225" s="8">
        <f t="shared" si="12"/>
        <v>4656000</v>
      </c>
      <c r="B225" s="8">
        <v>162000</v>
      </c>
      <c r="C225" s="8"/>
      <c r="D225" s="8" t="s">
        <v>188</v>
      </c>
      <c r="E225" s="1"/>
    </row>
    <row r="226" spans="1:5" ht="27" customHeight="1" x14ac:dyDescent="0.2">
      <c r="A226" s="8">
        <f t="shared" si="12"/>
        <v>4526000</v>
      </c>
      <c r="B226" s="8"/>
      <c r="C226" s="8">
        <v>130000</v>
      </c>
      <c r="D226" s="8" t="s">
        <v>255</v>
      </c>
      <c r="E226" s="1" t="s">
        <v>254</v>
      </c>
    </row>
    <row r="227" spans="1:5" ht="27" customHeight="1" x14ac:dyDescent="0.2">
      <c r="A227" s="8">
        <f t="shared" si="12"/>
        <v>4606000</v>
      </c>
      <c r="B227" s="8">
        <v>80000</v>
      </c>
      <c r="C227" s="8"/>
      <c r="D227" s="8" t="s">
        <v>76</v>
      </c>
      <c r="E227" s="1" t="s">
        <v>256</v>
      </c>
    </row>
    <row r="228" spans="1:5" ht="27" customHeight="1" x14ac:dyDescent="0.2">
      <c r="A228" s="8">
        <f t="shared" si="12"/>
        <v>4768000</v>
      </c>
      <c r="B228" s="8">
        <v>162000</v>
      </c>
      <c r="C228" s="8"/>
      <c r="D228" s="8" t="s">
        <v>188</v>
      </c>
      <c r="E228" s="1" t="s">
        <v>257</v>
      </c>
    </row>
    <row r="229" spans="1:5" ht="27" customHeight="1" x14ac:dyDescent="0.2">
      <c r="A229" s="8">
        <f t="shared" si="12"/>
        <v>4828000</v>
      </c>
      <c r="B229" s="8">
        <v>60000</v>
      </c>
      <c r="C229" s="8"/>
      <c r="D229" s="8" t="s">
        <v>259</v>
      </c>
      <c r="E229" s="1" t="s">
        <v>258</v>
      </c>
    </row>
    <row r="230" spans="1:5" ht="27" customHeight="1" x14ac:dyDescent="0.2">
      <c r="A230" s="8">
        <f t="shared" si="12"/>
        <v>5087000</v>
      </c>
      <c r="B230" s="8">
        <v>259000</v>
      </c>
      <c r="C230" s="8"/>
      <c r="D230" s="8" t="s">
        <v>261</v>
      </c>
      <c r="E230" s="1" t="s">
        <v>260</v>
      </c>
    </row>
    <row r="231" spans="1:5" ht="27" customHeight="1" x14ac:dyDescent="0.2">
      <c r="A231" s="8">
        <f t="shared" si="12"/>
        <v>5187000</v>
      </c>
      <c r="B231" s="8">
        <v>100000</v>
      </c>
      <c r="C231" s="8"/>
      <c r="D231" s="8" t="s">
        <v>76</v>
      </c>
      <c r="E231" s="1" t="s">
        <v>262</v>
      </c>
    </row>
    <row r="232" spans="1:5" ht="27" customHeight="1" x14ac:dyDescent="0.2">
      <c r="A232" s="9"/>
      <c r="B232" s="9">
        <f>SUM(B212:B231) +B206</f>
        <v>13353000</v>
      </c>
      <c r="C232" s="9">
        <f>SUM(C212:C231) +C206</f>
        <v>8166000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5187000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3">
      <c r="A237" t="s">
        <v>10</v>
      </c>
      <c r="B237" s="2" t="s">
        <v>0</v>
      </c>
      <c r="C237" s="2"/>
    </row>
    <row r="238" spans="1:5" ht="27" customHeight="1" x14ac:dyDescent="0.35">
      <c r="A238" s="3" t="s">
        <v>4</v>
      </c>
      <c r="B238" s="4" t="s">
        <v>3</v>
      </c>
      <c r="C238" s="3" t="s">
        <v>1</v>
      </c>
      <c r="D238" s="5" t="s">
        <v>2</v>
      </c>
      <c r="E238" s="5" t="s">
        <v>7</v>
      </c>
    </row>
    <row r="239" spans="1:5" ht="27" customHeight="1" x14ac:dyDescent="0.2">
      <c r="A239" s="8">
        <f>B234+B239-C239</f>
        <v>5349000</v>
      </c>
      <c r="B239" s="8">
        <v>162000</v>
      </c>
      <c r="C239" s="8"/>
      <c r="D239" s="8" t="s">
        <v>188</v>
      </c>
      <c r="E239" s="1" t="s">
        <v>263</v>
      </c>
    </row>
    <row r="240" spans="1:5" ht="27" customHeight="1" x14ac:dyDescent="0.2">
      <c r="A240" s="8">
        <f>A239+B240-C240</f>
        <v>5379000</v>
      </c>
      <c r="B240" s="8">
        <v>30000</v>
      </c>
      <c r="C240" s="8"/>
      <c r="D240" s="8" t="s">
        <v>99</v>
      </c>
      <c r="E240" s="1"/>
    </row>
    <row r="241" spans="1:5" ht="27" customHeight="1" x14ac:dyDescent="0.2">
      <c r="A241" s="8">
        <f t="shared" ref="A241:A247" si="13">A240+B241-C241</f>
        <v>5379005</v>
      </c>
      <c r="B241" s="8">
        <v>5</v>
      </c>
      <c r="C241" s="8"/>
      <c r="D241" s="8"/>
      <c r="E241" s="1"/>
    </row>
    <row r="242" spans="1:5" ht="27" customHeight="1" x14ac:dyDescent="0.2">
      <c r="A242" s="8">
        <f t="shared" si="13"/>
        <v>5379005</v>
      </c>
      <c r="B242" s="8"/>
      <c r="C242" s="8"/>
      <c r="D242" s="8"/>
      <c r="E242" s="1"/>
    </row>
    <row r="243" spans="1:5" ht="27" customHeight="1" x14ac:dyDescent="0.2">
      <c r="A243" s="8">
        <f t="shared" si="13"/>
        <v>5379005</v>
      </c>
      <c r="B243" s="8"/>
      <c r="C243" s="8"/>
      <c r="D243" s="8"/>
      <c r="E243" s="1"/>
    </row>
    <row r="244" spans="1:5" ht="27" customHeight="1" x14ac:dyDescent="0.2">
      <c r="A244" s="8">
        <f>A243+B244-C244</f>
        <v>5379005</v>
      </c>
      <c r="B244" s="8"/>
      <c r="C244" s="8"/>
      <c r="D244" s="8"/>
      <c r="E244" s="1"/>
    </row>
    <row r="245" spans="1:5" ht="27" customHeight="1" x14ac:dyDescent="0.2">
      <c r="A245" s="8">
        <f t="shared" si="13"/>
        <v>5379005</v>
      </c>
      <c r="B245" s="8"/>
      <c r="C245" s="8"/>
      <c r="D245" s="8"/>
      <c r="E245" s="1"/>
    </row>
    <row r="246" spans="1:5" ht="27" customHeight="1" x14ac:dyDescent="0.2">
      <c r="A246" s="8">
        <f t="shared" si="13"/>
        <v>5379005</v>
      </c>
      <c r="B246" s="8"/>
      <c r="C246" s="8"/>
      <c r="D246" s="8"/>
      <c r="E246" s="1"/>
    </row>
    <row r="247" spans="1:5" ht="27" customHeight="1" x14ac:dyDescent="0.2">
      <c r="A247" s="8">
        <f t="shared" si="13"/>
        <v>5379005</v>
      </c>
      <c r="B247" s="8"/>
      <c r="C247" s="8"/>
      <c r="D247" s="8"/>
      <c r="E247" s="1"/>
    </row>
    <row r="248" spans="1:5" ht="27" customHeight="1" x14ac:dyDescent="0.2">
      <c r="A248" s="8">
        <f>A247+B248-C248</f>
        <v>5379005</v>
      </c>
      <c r="B248" s="8"/>
      <c r="C248" s="8"/>
      <c r="D248" s="8"/>
      <c r="E248" s="1"/>
    </row>
    <row r="249" spans="1:5" ht="27" customHeight="1" x14ac:dyDescent="0.2">
      <c r="A249" s="8">
        <f t="shared" ref="A249:A258" si="14">A248+B249-C249</f>
        <v>5379005</v>
      </c>
      <c r="B249" s="8"/>
      <c r="C249" s="8"/>
      <c r="D249" s="8"/>
      <c r="E249" s="1"/>
    </row>
    <row r="250" spans="1:5" ht="27" customHeight="1" x14ac:dyDescent="0.2">
      <c r="A250" s="8">
        <f t="shared" si="14"/>
        <v>5379005</v>
      </c>
      <c r="B250" s="8"/>
      <c r="C250" s="8"/>
      <c r="D250" s="8"/>
      <c r="E250" s="1"/>
    </row>
    <row r="251" spans="1:5" ht="27" customHeight="1" x14ac:dyDescent="0.2">
      <c r="A251" s="8">
        <f t="shared" si="14"/>
        <v>5379005</v>
      </c>
      <c r="B251" s="8"/>
      <c r="C251" s="8"/>
      <c r="D251" s="8"/>
      <c r="E251" s="1"/>
    </row>
    <row r="252" spans="1:5" ht="27" customHeight="1" x14ac:dyDescent="0.2">
      <c r="A252" s="8">
        <f t="shared" si="14"/>
        <v>5379005</v>
      </c>
      <c r="B252" s="8"/>
      <c r="C252" s="8"/>
      <c r="D252" s="8"/>
      <c r="E252" s="1"/>
    </row>
    <row r="253" spans="1:5" ht="27" customHeight="1" x14ac:dyDescent="0.2">
      <c r="A253" s="8">
        <f t="shared" si="14"/>
        <v>5379005</v>
      </c>
      <c r="B253" s="8"/>
      <c r="C253" s="8"/>
      <c r="D253" s="8"/>
      <c r="E253" s="1"/>
    </row>
    <row r="254" spans="1:5" ht="27" customHeight="1" x14ac:dyDescent="0.2">
      <c r="A254" s="8">
        <f t="shared" si="14"/>
        <v>5379005</v>
      </c>
      <c r="B254" s="8"/>
      <c r="C254" s="8"/>
      <c r="D254" s="8"/>
      <c r="E254" s="1"/>
    </row>
    <row r="255" spans="1:5" ht="27" customHeight="1" x14ac:dyDescent="0.2">
      <c r="A255" s="8">
        <f t="shared" si="14"/>
        <v>5379005</v>
      </c>
      <c r="B255" s="8"/>
      <c r="C255" s="8"/>
      <c r="D255" s="8"/>
      <c r="E255" s="1"/>
    </row>
    <row r="256" spans="1:5" ht="27" customHeight="1" x14ac:dyDescent="0.2">
      <c r="A256" s="8">
        <f t="shared" si="14"/>
        <v>5379005</v>
      </c>
      <c r="B256" s="8"/>
      <c r="C256" s="8"/>
      <c r="D256" s="8"/>
      <c r="E256" s="1"/>
    </row>
    <row r="257" spans="1:5" ht="27" customHeight="1" x14ac:dyDescent="0.2">
      <c r="A257" s="8">
        <f t="shared" si="14"/>
        <v>5379005</v>
      </c>
      <c r="B257" s="8"/>
      <c r="C257" s="8"/>
      <c r="D257" s="8"/>
      <c r="E257" s="1"/>
    </row>
    <row r="258" spans="1:5" ht="27" customHeight="1" x14ac:dyDescent="0.2">
      <c r="A258" s="8">
        <f t="shared" si="14"/>
        <v>5379005</v>
      </c>
      <c r="B258" s="8"/>
      <c r="C258" s="8"/>
      <c r="D258" s="8"/>
      <c r="E258" s="1"/>
    </row>
    <row r="259" spans="1:5" ht="27" customHeight="1" x14ac:dyDescent="0.2">
      <c r="A259" s="9"/>
      <c r="B259" s="9">
        <f>SUM(B239:B258) +B233</f>
        <v>192005</v>
      </c>
      <c r="C259" s="9">
        <f>SUM(C239:C258) +C233</f>
        <v>0</v>
      </c>
      <c r="D259" s="9"/>
    </row>
    <row r="260" spans="1:5" ht="27" customHeight="1" x14ac:dyDescent="0.2">
      <c r="A260" s="9"/>
      <c r="B260" s="9"/>
      <c r="C260" s="9"/>
      <c r="D260" s="9"/>
    </row>
    <row r="261" spans="1:5" ht="27" customHeight="1" x14ac:dyDescent="0.35">
      <c r="A261" s="9"/>
      <c r="B261" s="12">
        <f>A258</f>
        <v>5379005</v>
      </c>
      <c r="C261" s="13" t="s">
        <v>233</v>
      </c>
      <c r="D261" s="14"/>
    </row>
    <row r="262" spans="1:5" ht="27" customHeight="1" x14ac:dyDescent="0.2">
      <c r="A262" t="s">
        <v>86</v>
      </c>
      <c r="D262" t="s">
        <v>85</v>
      </c>
    </row>
    <row r="263" spans="1:5" ht="27" customHeight="1" x14ac:dyDescent="0.2"/>
    <row r="264" spans="1:5" ht="27" customHeight="1" x14ac:dyDescent="0.2"/>
    <row r="265" spans="1:5" ht="27" customHeight="1" x14ac:dyDescent="0.2"/>
    <row r="266" spans="1:5" ht="27" customHeight="1" x14ac:dyDescent="0.2"/>
    <row r="267" spans="1:5" ht="27" customHeight="1" x14ac:dyDescent="0.2"/>
    <row r="268" spans="1:5" ht="27" customHeight="1" x14ac:dyDescent="0.2"/>
    <row r="269" spans="1:5" ht="27" customHeight="1" x14ac:dyDescent="0.2"/>
  </sheetData>
  <mergeCells count="7">
    <mergeCell ref="C261:D261"/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82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08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34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61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2026-08-22T13:54:04Z</dcterms:modified>
</cp:coreProperties>
</file>