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59" i="1" l="1"/>
  <c r="B287" i="1" s="1"/>
  <c r="C259" i="1"/>
  <c r="C287" i="1" s="1"/>
  <c r="A267" i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B289" i="1" s="1"/>
  <c r="H2" i="1" s="1"/>
  <c r="A239" i="1" l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<sst xmlns="http://schemas.openxmlformats.org/spreadsheetml/2006/main" count="501" uniqueCount="293">
  <si>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</si>
  <si>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</si>
  <si>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</si>
  <si>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</si>
  <si>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</si>
  <si>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</si>
  <si>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</si>
  <si>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</si>
  <si>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</si>
  <si>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</si>
  <si>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</si>
  <si>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</si>
  <si>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</si>
  <si>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</si>
  <si>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</si>
  <si>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</si>
  <si>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</si>
  <si>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</si>
  <si>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</si>
  <si>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</si>
  <si>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</si>
  <si>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</si>
  <si>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</si>
  <si>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</si>
  <si>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</si>
  <si>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</si>
  <si>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</si>
  <si>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</si>
  <si>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</si>
  <si>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</si>
  <si>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</si>
  <si>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</si>
  <si>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</si>
  <si>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</si>
  <si>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</si>
  <si>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</si>
  <si>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</si>
  <si>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</si>
  <si>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</si>
  <si>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</si>
  <si>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</si>
  <si>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</si>
  <si>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</si>
  <si>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</si>
  <si>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</si>
  <si>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</si>
  <si>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</si>
  <si>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</si>
  <si>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</si>
  <si>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</si>
  <si>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</si>
  <si>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</si>
  <si>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</si>
  <si>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</si>
  <si>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</si>
  <si>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</si>
  <si>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</si>
  <si>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</si>
  <si>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</si>
  <si>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</si>
  <si>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</si>
  <si>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</si>
  <si>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</si>
  <si>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</si>
  <si>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</si>
  <si>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</si>
  <si>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</si>
  <si>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</si>
  <si>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</si>
  <si>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</si>
  <si>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</si>
  <si>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</si>
  <si>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</si>
  <si>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</si>
  <si>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</si>
  <si>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</si>
  <si>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</si>
  <si>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</si>
  <si>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</si>
  <si>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</si>
  <si>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</si>
  <si>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</si>
  <si>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</si>
  <si>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</si>
  <si>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</si>
  <si>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</si>
  <si>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</si>
  <si>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</si>
  <si>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</si>
  <si>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</si>
  <si>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</si>
  <si>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</si>
  <si>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</si>
  <si>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</si>
  <si>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</si>
  <si>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</si>
  <si>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</si>
  <si>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</si>
  <si>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</si>
  <si>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</si>
  <si>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</si>
  <si>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</si>
  <si>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</si>
  <si>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</si>
  <si>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</si>
  <si>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</si>
  <si>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</si>
  <si>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</si>
  <si>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</si>
  <si>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</si>
  <si>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</si>
  <si>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</si>
  <si>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</si>
  <si>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</si>
  <si>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</si>
  <si>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</si>
  <si>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</si>
  <si>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</si>
  <si>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</si>
  <si>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</si>
  <si>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</si>
  <si>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</si>
  <si>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</si>
  <si>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</si>
  <si>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</si>
  <si>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</si>
  <si>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</si>
  <si>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</si>
  <si>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</si>
  <si>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</si>
  <si>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</si>
  <si>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</si>
  <si>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</si>
  <si>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</si>
  <si>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</si>
  <si>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</si>
  <si>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</si>
  <si>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</si>
  <si>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</si>
  <si>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</si>
  <si>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</si>
  <si>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</si>
  <si>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</si>
  <si>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</si>
  <si>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</si>
  <si>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</si>
  <si>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</si>
  <si>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</si>
  <si>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</si>
  <si>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</si>
  <si>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</si>
  <si>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</si>
  <si>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</si>
  <si>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</si>
  <si>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</si>
  <si>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</si>
  <si>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</si>
  <si>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</si>
  <si>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</si>
  <si>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</si>
  <si>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</si>
  <si>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</si>
  <si>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</si>
  <si>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</si>
  <si>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</si>
  <si>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</si>
  <si>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</si>
  <si>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</si>
  <si>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</si>
  <si>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</si>
  <si>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</si>
  <si>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</si>
  <si>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</si>
  <si>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</si>
  <si>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</si>
  <si>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</si>
  <si>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</si>
  <si>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</si>
  <si>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</si>
  <si>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</si>
  <si>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</si>
  <si>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</si>
  <si>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</si>
  <si>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</si>
  <si>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</si>
  <si>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</si>
  <si>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</si>
  <si>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</si>
  <si>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</si>
  <si>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</si>
  <si>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</si>
  <si>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</si>
  <si>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</si>
  <si>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</si>
  <si>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</si>
  <si>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</si>
  <si>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</si>
  <si>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</si>
  <si>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</si>
  <si>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</si>
  <si>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</si>
  <si>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</si>
  <si>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</si>
  <si>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</si>
  <si>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</si>
  <si>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</si>
  <si>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</si>
  <si>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</si>
  <si>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</si>
  <si>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</si>
  <si>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</si>
  <si>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</si>
  <si>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</si>
  <si>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</si>
  <si>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</si>
  <si>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</si>
  <si>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</si>
  <si>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</si>
  <si>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</si>
  <si>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</si>
  <si>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</si>
  <si>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</si>
  <si>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</si>
  <si>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</si>
  <si>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</si>
  <si>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</si>
  <si>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</si>
  <si>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</si>
  <si>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</si>
  <si>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</si>
  <si>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</si>
  <si>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</si>
  <si>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</si>
  <si>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</si>
  <si>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</si>
  <si>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</si>
  <si>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</si>
  <si>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</si>
  <si>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</si>
  <si>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</si>
  <si>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</si>
  <si>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</si>
  <si>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</si>
  <si>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</si>
  <si>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</si>
  <si>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</si>
  <si>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</si>
  <si>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</si>
  <si>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</si>
  <si>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</si>
  <si>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</si>
  <si>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</si>
  <si>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</si>
  <si>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</si>
  <si>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</si>
  <si>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</si>
  <si>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</si>
  <si>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</si>
  <si>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</si>
  <si>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</si>
  <si>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</si>
  <si>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</si>
  <si>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</si>
  <si>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</si>
  <si>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</si>
  <si>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</si>
  <si>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</si>
  <si>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</si>
  <si>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</si>
  <si>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</si>
  <si>
    <t>1405/06/13</t>
  </si>
  <si>
    <t>دنگ باغ ممدجواد</t>
  </si>
  <si>
    <t>1405/06/16</t>
  </si>
  <si>
    <t>های بای کیک</t>
  </si>
  <si>
    <t>1405/06/18</t>
  </si>
  <si>
    <t>1405/06/22</t>
  </si>
  <si>
    <t>دنگ سس</t>
  </si>
  <si>
    <t>1405/07/04</t>
  </si>
  <si>
    <t>1405/07/06</t>
  </si>
  <si>
    <t>1405/07/09</t>
  </si>
  <si>
    <t>وجه برگشتی سیگار</t>
  </si>
  <si>
    <t>1405/07/10</t>
  </si>
  <si>
    <t>1405/07/17</t>
  </si>
  <si>
    <t>1405/07/18</t>
  </si>
  <si>
    <t>1405/07/22</t>
  </si>
  <si>
    <t>1405/07/23</t>
  </si>
  <si>
    <t>پول</t>
  </si>
  <si>
    <t>1405/06/23</t>
  </si>
  <si>
    <t>دنگ مزه پل دو آب</t>
  </si>
  <si>
    <t>1405/07/25</t>
  </si>
  <si>
    <t>1405/07/29</t>
  </si>
  <si>
    <t>1405/07/30</t>
  </si>
  <si>
    <t>1405/08/04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</si>
</sst>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6"/>
  <sheetViews>
    <sheetView tabSelected="1" topLeftCell="A267" zoomScaleNormal="100" workbookViewId="0">
      <selection activeCell="K270" sqref="K270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B289</f>
        <v>5165000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6080000</v>
      </c>
      <c r="B245" s="8">
        <v>155000</v>
      </c>
      <c r="C245" s="8"/>
      <c r="D245" s="8" t="s">
        <v>188</v>
      </c>
      <c r="E245" s="1" t="s">
        <v>270</v>
      </c>
    </row>
    <row r="246" spans="1:5" ht="27" customHeight="1" x14ac:dyDescent="0.2">
      <c r="A246" s="8">
        <f t="shared" si="13"/>
        <v>6280000</v>
      </c>
      <c r="B246" s="8">
        <v>200000</v>
      </c>
      <c r="C246" s="8"/>
      <c r="D246" s="8" t="s">
        <v>271</v>
      </c>
      <c r="E246" s="1"/>
    </row>
    <row r="247" spans="1:5" ht="27" customHeight="1" x14ac:dyDescent="0.2">
      <c r="A247" s="8">
        <f t="shared" si="13"/>
        <v>6335000</v>
      </c>
      <c r="B247" s="8">
        <v>55000</v>
      </c>
      <c r="C247" s="8"/>
      <c r="D247" s="8" t="s">
        <v>273</v>
      </c>
      <c r="E247" s="1" t="s">
        <v>272</v>
      </c>
    </row>
    <row r="248" spans="1:5" ht="27" customHeight="1" x14ac:dyDescent="0.2">
      <c r="A248" s="8">
        <f>A247+B248-C248</f>
        <v>6522000</v>
      </c>
      <c r="B248" s="8">
        <v>187000</v>
      </c>
      <c r="C248" s="8"/>
      <c r="D248" s="8" t="s">
        <v>188</v>
      </c>
      <c r="E248" s="1" t="s">
        <v>274</v>
      </c>
    </row>
    <row r="249" spans="1:5" ht="27" customHeight="1" x14ac:dyDescent="0.2">
      <c r="A249" s="8">
        <f t="shared" ref="A249:A258" si="14">A248+B249-C249</f>
        <v>6618000</v>
      </c>
      <c r="B249" s="8">
        <v>96000</v>
      </c>
      <c r="C249" s="8"/>
      <c r="D249" s="8" t="s">
        <v>276</v>
      </c>
      <c r="E249" s="1" t="s">
        <v>275</v>
      </c>
    </row>
    <row r="250" spans="1:5" ht="27" customHeight="1" x14ac:dyDescent="0.2">
      <c r="A250" s="8">
        <f t="shared" si="14"/>
        <v>6843000</v>
      </c>
      <c r="B250" s="8">
        <v>225000</v>
      </c>
      <c r="C250" s="8"/>
      <c r="D250" s="8" t="s">
        <v>188</v>
      </c>
      <c r="E250" s="1" t="s">
        <v>277</v>
      </c>
    </row>
    <row r="251" spans="1:5" ht="27" customHeight="1" x14ac:dyDescent="0.2">
      <c r="A251" s="8">
        <f t="shared" si="14"/>
        <v>6893000</v>
      </c>
      <c r="B251" s="8">
        <v>50000</v>
      </c>
      <c r="C251" s="8"/>
      <c r="D251" s="8" t="s">
        <v>37</v>
      </c>
      <c r="E251" s="1" t="s">
        <v>278</v>
      </c>
    </row>
    <row r="252" spans="1:5" ht="27" customHeight="1" x14ac:dyDescent="0.2">
      <c r="A252" s="8">
        <f t="shared" si="14"/>
        <v>6655000</v>
      </c>
      <c r="B252" s="8"/>
      <c r="C252" s="8">
        <v>238000</v>
      </c>
      <c r="D252" s="8" t="s">
        <v>280</v>
      </c>
      <c r="E252" s="1" t="s">
        <v>279</v>
      </c>
    </row>
    <row r="253" spans="1:5" ht="27" customHeight="1" x14ac:dyDescent="0.2">
      <c r="A253" s="8">
        <f t="shared" si="14"/>
        <v>6671000</v>
      </c>
      <c r="B253" s="8">
        <v>16000</v>
      </c>
      <c r="C253" s="8"/>
      <c r="D253" s="8" t="s">
        <v>29</v>
      </c>
      <c r="E253" s="1" t="s">
        <v>281</v>
      </c>
    </row>
    <row r="254" spans="1:5" ht="27" customHeight="1" x14ac:dyDescent="0.2">
      <c r="A254" s="8">
        <f t="shared" si="14"/>
        <v>6871000</v>
      </c>
      <c r="B254" s="8">
        <v>200000</v>
      </c>
      <c r="C254" s="8"/>
      <c r="D254" s="8" t="s">
        <v>188</v>
      </c>
      <c r="E254" s="1"/>
    </row>
    <row r="255" spans="1:5" ht="27" customHeight="1" x14ac:dyDescent="0.2">
      <c r="A255" s="8">
        <f t="shared" si="14"/>
        <v>7096000</v>
      </c>
      <c r="B255" s="8">
        <v>225000</v>
      </c>
      <c r="C255" s="8"/>
      <c r="D255" s="8" t="s">
        <v>188</v>
      </c>
      <c r="E255" s="1" t="s">
        <v>282</v>
      </c>
    </row>
    <row r="256" spans="1:5" ht="27" customHeight="1" x14ac:dyDescent="0.2">
      <c r="A256" s="8">
        <f t="shared" si="14"/>
        <v>7166000</v>
      </c>
      <c r="B256" s="8">
        <v>70000</v>
      </c>
      <c r="C256" s="8"/>
      <c r="D256" s="8" t="s">
        <v>35</v>
      </c>
      <c r="E256" s="1"/>
    </row>
    <row r="257" spans="1:5" ht="27" customHeight="1" x14ac:dyDescent="0.2">
      <c r="A257" s="8">
        <f t="shared" si="14"/>
        <v>7216000</v>
      </c>
      <c r="B257" s="8">
        <v>50000</v>
      </c>
      <c r="C257" s="8"/>
      <c r="D257" s="8" t="s">
        <v>37</v>
      </c>
      <c r="E257" s="1" t="s">
        <v>283</v>
      </c>
    </row>
    <row r="258" spans="1:5" ht="27" customHeight="1" x14ac:dyDescent="0.2">
      <c r="A258" s="8">
        <f t="shared" si="14"/>
        <v>7266000</v>
      </c>
      <c r="B258" s="8">
        <v>50000</v>
      </c>
      <c r="C258" s="8"/>
      <c r="D258" s="8" t="s">
        <v>37</v>
      </c>
      <c r="E258" s="1" t="s">
        <v>284</v>
      </c>
    </row>
    <row r="259" spans="1:5" ht="27" customHeight="1" x14ac:dyDescent="0.2">
      <c r="A259" s="9"/>
      <c r="B259" s="9">
        <f>SUM(B239:B258) +B232</f>
        <v>15670000</v>
      </c>
      <c r="C259" s="9">
        <f>SUM(C239:C258) +C232</f>
        <v>8404000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7266000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3">
      <c r="A265" t="s">
        <v>10</v>
      </c>
      <c r="B265" s="2" t="s">
        <v>0</v>
      </c>
      <c r="C265" s="2"/>
    </row>
    <row r="266" spans="1:5" ht="27" customHeight="1" x14ac:dyDescent="0.35">
      <c r="A266" s="3" t="s">
        <v>4</v>
      </c>
      <c r="B266" s="4" t="s">
        <v>3</v>
      </c>
      <c r="C266" s="3" t="s">
        <v>1</v>
      </c>
      <c r="D266" s="5" t="s">
        <v>2</v>
      </c>
      <c r="E266" s="5" t="s">
        <v>7</v>
      </c>
    </row>
    <row r="267" spans="1:5" ht="27" customHeight="1" x14ac:dyDescent="0.2">
      <c r="A267" s="8">
        <f>B261+B267-C267</f>
        <v>7466000</v>
      </c>
      <c r="B267" s="8">
        <v>200000</v>
      </c>
      <c r="C267" s="8"/>
      <c r="D267" s="8" t="s">
        <v>286</v>
      </c>
      <c r="E267" s="1" t="s">
        <v>285</v>
      </c>
    </row>
    <row r="268" spans="1:5" ht="27" customHeight="1" x14ac:dyDescent="0.2">
      <c r="A268" s="8">
        <f>A267+B268-C268</f>
        <v>7655000</v>
      </c>
      <c r="B268" s="8">
        <v>189000</v>
      </c>
      <c r="C268" s="8"/>
      <c r="D268" s="8" t="s">
        <v>288</v>
      </c>
      <c r="E268" s="1" t="s">
        <v>287</v>
      </c>
    </row>
    <row r="269" spans="1:5" ht="27" customHeight="1" x14ac:dyDescent="0.2">
      <c r="A269" s="8">
        <f t="shared" ref="A269:A271" si="15">A268+B269-C269</f>
        <v>7680000</v>
      </c>
      <c r="B269" s="8">
        <v>25000</v>
      </c>
      <c r="C269" s="8"/>
      <c r="D269" s="8" t="s">
        <v>131</v>
      </c>
      <c r="E269" s="1" t="s">
        <v>285</v>
      </c>
    </row>
    <row r="270" spans="1:5" ht="27.75" customHeight="1" x14ac:dyDescent="0.2">
      <c r="A270" s="8">
        <f t="shared" si="15"/>
        <v>7710000</v>
      </c>
      <c r="B270" s="8">
        <v>30000</v>
      </c>
      <c r="C270" s="8"/>
      <c r="D270" s="8" t="s">
        <v>29</v>
      </c>
      <c r="E270" s="1" t="s">
        <v>289</v>
      </c>
    </row>
    <row r="271" spans="1:5" ht="27.75" customHeight="1" x14ac:dyDescent="0.2">
      <c r="A271" s="8">
        <f t="shared" si="15"/>
        <v>7760000</v>
      </c>
      <c r="B271" s="8">
        <v>50000</v>
      </c>
      <c r="C271" s="8"/>
      <c r="D271" s="8" t="s">
        <v>37</v>
      </c>
      <c r="E271" s="1" t="s">
        <v>290</v>
      </c>
    </row>
    <row r="272" spans="1:5" ht="27.75" customHeight="1" x14ac:dyDescent="0.2">
      <c r="A272" s="8">
        <f>A271+B272-C272</f>
        <v>8030000</v>
      </c>
      <c r="B272" s="8">
        <v>270000</v>
      </c>
      <c r="C272" s="8"/>
      <c r="D272" s="8" t="s">
        <v>188</v>
      </c>
      <c r="E272" s="1" t="s">
        <v>290</v>
      </c>
    </row>
    <row r="273" spans="1:5" ht="27.75" customHeight="1" x14ac:dyDescent="0.2">
      <c r="A273" s="8">
        <f t="shared" ref="A273:A275" si="16">A272+B273-C273</f>
        <v>5030000</v>
      </c>
      <c r="B273" s="8"/>
      <c r="C273" s="8">
        <v>3000000</v>
      </c>
      <c r="D273" s="8" t="s">
        <v>18</v>
      </c>
      <c r="E273" s="1" t="s">
        <v>291</v>
      </c>
    </row>
    <row r="274" spans="1:5" ht="27.75" customHeight="1" x14ac:dyDescent="0.2">
      <c r="A274" s="8">
        <f t="shared" si="16"/>
        <v>5030000</v>
      </c>
      <c r="B274" s="8"/>
      <c r="C274" s="8"/>
      <c r="D274" s="8"/>
      <c r="E274" s="1"/>
    </row>
    <row r="275" spans="1:5" ht="27.75" customHeight="1" x14ac:dyDescent="0.2">
      <c r="A275" s="8">
        <f t="shared" si="16"/>
        <v>5165000</v>
      </c>
      <c r="B275" s="8">
        <v>135000</v>
      </c>
      <c r="C275" s="8"/>
      <c r="D275" s="8" t="s">
        <v>188</v>
      </c>
      <c r="E275" s="1" t="s">
        <v>292</v>
      </c>
    </row>
    <row r="276" spans="1:5" ht="27.75" customHeight="1" x14ac:dyDescent="0.2">
      <c r="A276" s="8">
        <f>A275+B276-C276</f>
        <v>5165000</v>
      </c>
      <c r="B276" s="8"/>
      <c r="C276" s="8"/>
      <c r="D276" s="8"/>
      <c r="E276" s="1"/>
    </row>
    <row r="277" spans="1:5" ht="27.75" customHeight="1" x14ac:dyDescent="0.2">
      <c r="A277" s="8">
        <f t="shared" ref="A277:A286" si="17">A276+B277-C277</f>
        <v>5165000</v>
      </c>
      <c r="B277" s="8"/>
      <c r="C277" s="8"/>
      <c r="D277" s="8"/>
      <c r="E277" s="1"/>
    </row>
    <row r="278" spans="1:5" ht="27.75" customHeight="1" x14ac:dyDescent="0.2">
      <c r="A278" s="8">
        <f t="shared" si="17"/>
        <v>5165000</v>
      </c>
      <c r="B278" s="8"/>
      <c r="C278" s="8"/>
      <c r="D278" s="8"/>
      <c r="E278" s="1"/>
    </row>
    <row r="279" spans="1:5" ht="27.75" customHeight="1" x14ac:dyDescent="0.2">
      <c r="A279" s="8">
        <f t="shared" si="17"/>
        <v>5165000</v>
      </c>
      <c r="B279" s="8"/>
      <c r="C279" s="8"/>
      <c r="D279" s="8"/>
      <c r="E279" s="1"/>
    </row>
    <row r="280" spans="1:5" ht="27.75" customHeight="1" x14ac:dyDescent="0.2">
      <c r="A280" s="8">
        <f t="shared" si="17"/>
        <v>5165000</v>
      </c>
      <c r="B280" s="8"/>
      <c r="C280" s="8"/>
      <c r="D280" s="8"/>
      <c r="E280" s="1"/>
    </row>
    <row r="281" spans="1:5" ht="27.75" customHeight="1" x14ac:dyDescent="0.2">
      <c r="A281" s="8">
        <f t="shared" si="17"/>
        <v>5165000</v>
      </c>
      <c r="B281" s="8"/>
      <c r="C281" s="8"/>
      <c r="D281" s="8"/>
      <c r="E281" s="1"/>
    </row>
    <row r="282" spans="1:5" ht="27.75" customHeight="1" x14ac:dyDescent="0.2">
      <c r="A282" s="8">
        <f t="shared" si="17"/>
        <v>5165000</v>
      </c>
      <c r="B282" s="8"/>
      <c r="C282" s="8"/>
      <c r="D282" s="8"/>
      <c r="E282" s="1"/>
    </row>
    <row r="283" spans="1:5" ht="27.75" customHeight="1" x14ac:dyDescent="0.2">
      <c r="A283" s="8">
        <f t="shared" si="17"/>
        <v>5165000</v>
      </c>
      <c r="B283" s="8"/>
      <c r="C283" s="8"/>
      <c r="D283" s="8"/>
      <c r="E283" s="1"/>
    </row>
    <row r="284" spans="1:5" ht="27.75" customHeight="1" x14ac:dyDescent="0.2">
      <c r="A284" s="8">
        <f t="shared" si="17"/>
        <v>5165000</v>
      </c>
      <c r="B284" s="8"/>
      <c r="C284" s="8"/>
      <c r="D284" s="8"/>
      <c r="E284" s="1"/>
    </row>
    <row r="285" spans="1:5" ht="27.75" customHeight="1" x14ac:dyDescent="0.2">
      <c r="A285" s="8">
        <f t="shared" si="17"/>
        <v>5165000</v>
      </c>
      <c r="B285" s="8"/>
      <c r="C285" s="8"/>
      <c r="D285" s="8"/>
      <c r="E285" s="1"/>
    </row>
    <row r="286" spans="1:5" ht="27.75" customHeight="1" x14ac:dyDescent="0.2">
      <c r="A286" s="8">
        <f t="shared" si="17"/>
        <v>5165000</v>
      </c>
      <c r="B286" s="8"/>
      <c r="C286" s="8"/>
      <c r="D286" s="8"/>
      <c r="E286" s="1"/>
    </row>
    <row r="287" spans="1:5" ht="27.75" customHeight="1" x14ac:dyDescent="0.2">
      <c r="A287" s="9"/>
      <c r="B287" s="9">
        <f>SUM(B267:B286) +B259</f>
        <v>16569000</v>
      </c>
      <c r="C287" s="9">
        <f>SUM(C267:C286) +C259</f>
        <v>11404000</v>
      </c>
      <c r="D287" s="9"/>
    </row>
    <row r="288" spans="1:5" ht="27.75" customHeight="1" x14ac:dyDescent="0.2">
      <c r="A288" s="9"/>
      <c r="B288" s="9"/>
      <c r="C288" s="9"/>
      <c r="D288" s="9"/>
    </row>
    <row r="289" spans="1:4" ht="27.75" customHeight="1" x14ac:dyDescent="0.35">
      <c r="A289" s="9"/>
      <c r="B289" s="12">
        <f>A286</f>
        <v>5165000</v>
      </c>
      <c r="C289" s="13" t="s">
        <v>233</v>
      </c>
      <c r="D289" s="14"/>
    </row>
    <row r="290" spans="1:4" ht="27.75" customHeight="1" x14ac:dyDescent="0.2">
      <c r="A290" t="s">
        <v>86</v>
      </c>
      <c r="D290" t="s">
        <v>85</v>
      </c>
    </row>
    <row r="291" spans="1:4" ht="27.75" customHeight="1" x14ac:dyDescent="0.2"/>
    <row r="292" spans="1:4" ht="27" customHeight="1" x14ac:dyDescent="0.2"/>
    <row r="293" spans="1:4" ht="27" customHeight="1" x14ac:dyDescent="0.2"/>
    <row r="294" spans="1:4" ht="27" customHeight="1" x14ac:dyDescent="0.2"/>
    <row r="295" spans="1:4" ht="27" customHeight="1" x14ac:dyDescent="0.2"/>
    <row r="296" spans="1:4" ht="27" customHeight="1" x14ac:dyDescent="0.2"/>
    <row r="297" spans="1:4" ht="27" customHeight="1" x14ac:dyDescent="0.2"/>
    <row r="298" spans="1:4" ht="27" customHeight="1" x14ac:dyDescent="0.2"/>
    <row r="299" spans="1:4" ht="27" customHeight="1" x14ac:dyDescent="0.2"/>
    <row r="300" spans="1:4" ht="27" customHeight="1" x14ac:dyDescent="0.2"/>
    <row r="301" spans="1:4" ht="27" customHeight="1" x14ac:dyDescent="0.2"/>
    <row r="302" spans="1:4" ht="27" customHeight="1" x14ac:dyDescent="0.2"/>
    <row r="303" spans="1:4" ht="27" customHeight="1" x14ac:dyDescent="0.2"/>
    <row r="304" spans="1:4" ht="27" customHeight="1" x14ac:dyDescent="0.2"/>
    <row r="305" ht="27" customHeight="1" x14ac:dyDescent="0.2"/>
    <row r="306" ht="27" customHeight="1" x14ac:dyDescent="0.2"/>
    <row r="307" ht="27" customHeight="1" x14ac:dyDescent="0.2"/>
    <row r="308" ht="27" customHeight="1" x14ac:dyDescent="0.2"/>
    <row r="309" ht="27" customHeight="1" x14ac:dyDescent="0.2"/>
    <row r="310" ht="27" customHeight="1" x14ac:dyDescent="0.2"/>
    <row r="311" ht="27" customHeight="1" x14ac:dyDescent="0.2"/>
    <row r="312" ht="27" customHeight="1" x14ac:dyDescent="0.2"/>
    <row r="313" ht="27" customHeight="1" x14ac:dyDescent="0.2"/>
    <row r="314" ht="27" customHeight="1" x14ac:dyDescent="0.2"/>
    <row r="315" ht="27" customHeight="1" x14ac:dyDescent="0.2"/>
    <row r="316" ht="27" customHeight="1" x14ac:dyDescent="0.2"/>
    <row r="317" ht="27" customHeight="1" x14ac:dyDescent="0.2"/>
    <row r="318" ht="27" customHeight="1" x14ac:dyDescent="0.2"/>
    <row r="319" ht="27" customHeight="1" x14ac:dyDescent="0.2"/>
    <row r="320" ht="27" customHeight="1" x14ac:dyDescent="0.2"/>
    <row r="321" ht="27" customHeight="1" x14ac:dyDescent="0.2"/>
    <row r="322" ht="27" customHeight="1" x14ac:dyDescent="0.2"/>
    <row r="323" ht="27" customHeight="1" x14ac:dyDescent="0.2"/>
    <row r="324" ht="27" customHeight="1" x14ac:dyDescent="0.2"/>
    <row r="325" ht="27" customHeight="1" x14ac:dyDescent="0.2"/>
    <row r="326" ht="27" customHeight="1" x14ac:dyDescent="0.2"/>
    <row r="327" ht="27" customHeight="1" x14ac:dyDescent="0.2"/>
    <row r="328" ht="27" customHeight="1" x14ac:dyDescent="0.2"/>
    <row r="329" ht="27" customHeight="1" x14ac:dyDescent="0.2"/>
    <row r="330" ht="27" customHeight="1" x14ac:dyDescent="0.2"/>
    <row r="331" ht="27" customHeight="1" x14ac:dyDescent="0.2"/>
    <row r="332" ht="27" customHeight="1" x14ac:dyDescent="0.2"/>
    <row r="333" ht="27" customHeight="1" x14ac:dyDescent="0.2"/>
    <row r="334" ht="27" customHeight="1" x14ac:dyDescent="0.2"/>
    <row r="335" ht="27" customHeight="1" x14ac:dyDescent="0.2"/>
    <row r="336" ht="27" customHeight="1" x14ac:dyDescent="0.2"/>
    <row r="337" ht="27" customHeight="1" x14ac:dyDescent="0.2"/>
    <row r="338" ht="27" customHeight="1" x14ac:dyDescent="0.2"/>
    <row r="339" ht="27" customHeight="1" x14ac:dyDescent="0.2"/>
    <row r="340" ht="27" customHeight="1" x14ac:dyDescent="0.2"/>
    <row r="341" ht="27" customHeight="1" x14ac:dyDescent="0.2"/>
    <row r="342" ht="27" customHeight="1" x14ac:dyDescent="0.2"/>
    <row r="343" ht="27" customHeight="1" x14ac:dyDescent="0.2"/>
    <row r="344" ht="27" customHeight="1" x14ac:dyDescent="0.2"/>
    <row r="345" ht="27" customHeight="1" x14ac:dyDescent="0.2"/>
    <row r="346" ht="27" customHeight="1" x14ac:dyDescent="0.2"/>
    <row r="347" ht="27" customHeight="1" x14ac:dyDescent="0.2"/>
    <row r="348" ht="27" customHeight="1" x14ac:dyDescent="0.2"/>
    <row r="349" ht="27" customHeight="1" x14ac:dyDescent="0.2"/>
    <row r="350" ht="27" customHeight="1" x14ac:dyDescent="0.2"/>
    <row r="351" ht="27" customHeight="1" x14ac:dyDescent="0.2"/>
    <row r="352" ht="27" customHeight="1" x14ac:dyDescent="0.2"/>
    <row r="353" ht="27" customHeight="1" x14ac:dyDescent="0.2"/>
    <row r="354" ht="27" customHeight="1" x14ac:dyDescent="0.2"/>
    <row r="355" ht="27" customHeight="1" x14ac:dyDescent="0.2"/>
    <row r="356" ht="27" customHeight="1" x14ac:dyDescent="0.2"/>
    <row r="357" ht="27" customHeight="1" x14ac:dyDescent="0.2"/>
    <row r="358" ht="27" customHeight="1" x14ac:dyDescent="0.2"/>
    <row r="359" ht="27" customHeight="1" x14ac:dyDescent="0.2"/>
    <row r="360" ht="27" customHeight="1" x14ac:dyDescent="0.2"/>
    <row r="361" ht="27" customHeight="1" x14ac:dyDescent="0.2"/>
    <row r="362" ht="27" customHeight="1" x14ac:dyDescent="0.2"/>
    <row r="363" ht="27" customHeight="1" x14ac:dyDescent="0.2"/>
    <row r="364" ht="27" customHeight="1" x14ac:dyDescent="0.2"/>
    <row r="365" ht="27" customHeight="1" x14ac:dyDescent="0.2"/>
    <row r="366" ht="27" customHeight="1" x14ac:dyDescent="0.2"/>
    <row r="367" ht="27" customHeight="1" x14ac:dyDescent="0.2"/>
    <row r="368" ht="27" customHeight="1" x14ac:dyDescent="0.2"/>
    <row r="369" ht="27" customHeight="1" x14ac:dyDescent="0.2"/>
    <row r="370" ht="27" customHeight="1" x14ac:dyDescent="0.2"/>
    <row r="371" ht="27" customHeight="1" x14ac:dyDescent="0.2"/>
    <row r="372" ht="27" customHeight="1" x14ac:dyDescent="0.2"/>
    <row r="373" ht="27" customHeight="1" x14ac:dyDescent="0.2"/>
    <row r="374" ht="27" customHeight="1" x14ac:dyDescent="0.2"/>
    <row r="375" ht="27" customHeight="1" x14ac:dyDescent="0.2"/>
    <row r="376" ht="27" customHeight="1" x14ac:dyDescent="0.2"/>
    <row r="377" ht="27" customHeight="1" x14ac:dyDescent="0.2"/>
    <row r="378" ht="27" customHeight="1" x14ac:dyDescent="0.2"/>
    <row r="379" ht="27" customHeight="1" x14ac:dyDescent="0.2"/>
    <row r="380" ht="27" customHeight="1" x14ac:dyDescent="0.2"/>
    <row r="381" ht="27" customHeight="1" x14ac:dyDescent="0.2"/>
    <row r="382" ht="27" customHeight="1" x14ac:dyDescent="0.2"/>
    <row r="383" ht="27" customHeight="1" x14ac:dyDescent="0.2"/>
    <row r="384" ht="27" customHeight="1" x14ac:dyDescent="0.2"/>
    <row r="385" ht="27" customHeight="1" x14ac:dyDescent="0.2"/>
    <row r="386" ht="27" customHeight="1" x14ac:dyDescent="0.2"/>
    <row r="387" ht="27" customHeight="1" x14ac:dyDescent="0.2"/>
    <row r="388" ht="27" customHeight="1" x14ac:dyDescent="0.2"/>
    <row r="389" ht="27" customHeight="1" x14ac:dyDescent="0.2"/>
    <row r="390" ht="27" customHeight="1" x14ac:dyDescent="0.2"/>
    <row r="391" ht="27" customHeight="1" x14ac:dyDescent="0.2"/>
    <row r="392" ht="27" customHeight="1" x14ac:dyDescent="0.2"/>
    <row r="393" ht="27" customHeight="1" x14ac:dyDescent="0.2"/>
    <row r="394" ht="27" customHeight="1" x14ac:dyDescent="0.2"/>
    <row r="395" ht="27" customHeight="1" x14ac:dyDescent="0.2"/>
    <row r="396" ht="27" customHeight="1" x14ac:dyDescent="0.2"/>
    <row r="397" ht="27" customHeight="1" x14ac:dyDescent="0.2"/>
    <row r="398" ht="27" customHeight="1" x14ac:dyDescent="0.2"/>
    <row r="399" ht="27" customHeight="1" x14ac:dyDescent="0.2"/>
    <row r="400" ht="27" customHeight="1" x14ac:dyDescent="0.2"/>
    <row r="401" ht="27" customHeight="1" x14ac:dyDescent="0.2"/>
    <row r="402" ht="27" customHeight="1" x14ac:dyDescent="0.2"/>
    <row r="403" ht="27" customHeight="1" x14ac:dyDescent="0.2"/>
    <row r="404" ht="27" customHeight="1" x14ac:dyDescent="0.2"/>
    <row r="405" ht="27" customHeight="1" x14ac:dyDescent="0.2"/>
    <row r="406" ht="27" customHeight="1" x14ac:dyDescent="0.2"/>
    <row r="407" ht="27" customHeight="1" x14ac:dyDescent="0.2"/>
    <row r="408" ht="27" customHeight="1" x14ac:dyDescent="0.2"/>
    <row r="409" ht="27" customHeight="1" x14ac:dyDescent="0.2"/>
    <row r="410" ht="27" customHeight="1" x14ac:dyDescent="0.2"/>
    <row r="411" ht="27" customHeight="1" x14ac:dyDescent="0.2"/>
    <row r="412" ht="27" customHeight="1" x14ac:dyDescent="0.2"/>
    <row r="413" ht="27" customHeight="1" x14ac:dyDescent="0.2"/>
    <row r="414" ht="27" customHeight="1" x14ac:dyDescent="0.2"/>
    <row r="415" ht="27" customHeight="1" x14ac:dyDescent="0.2"/>
    <row r="416" ht="27" customHeight="1" x14ac:dyDescent="0.2"/>
    <row r="417" ht="27" customHeight="1" x14ac:dyDescent="0.2"/>
    <row r="418" ht="27" customHeight="1" x14ac:dyDescent="0.2"/>
    <row r="419" ht="27" customHeight="1" x14ac:dyDescent="0.2"/>
    <row r="420" ht="27" customHeight="1" x14ac:dyDescent="0.2"/>
    <row r="421" ht="27" customHeight="1" x14ac:dyDescent="0.2"/>
    <row r="422" ht="27" customHeight="1" x14ac:dyDescent="0.2"/>
    <row r="423" ht="27" customHeight="1" x14ac:dyDescent="0.2"/>
    <row r="424" ht="27" customHeight="1" x14ac:dyDescent="0.2"/>
    <row r="425" ht="27" customHeight="1" x14ac:dyDescent="0.2"/>
    <row r="426" ht="27" customHeight="1" x14ac:dyDescent="0.2"/>
  </sheetData>
  <mergeCells count="8">
    <mergeCell ref="C289:D289"/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8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20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3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61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89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2026-10-27T15:52:07Z</dcterms:modified>
</cp:coreProperties>
</file>