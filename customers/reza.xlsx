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7" i="1" l="1"/>
  <c r="B183" i="1" s="1"/>
  <c r="B209" i="1" s="1"/>
  <c r="C209" i="1"/>
  <c r="A189" i="1" l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188" i="1"/>
  <c r="A200" i="1" l="1"/>
  <c r="A201" i="1" s="1"/>
  <c r="A202" i="1" s="1"/>
  <c r="A203" i="1" s="1"/>
  <c r="A204" i="1" s="1"/>
  <c r="A205" i="1" s="1"/>
  <c r="A206" i="1" s="1"/>
  <c r="A207" i="1" s="1"/>
  <c r="A208" i="1" s="1"/>
  <c r="B210" i="1" s="1"/>
  <c r="H2" i="1" s="1"/>
  <c r="A162" i="1"/>
  <c r="C183" i="1"/>
  <c r="A163" i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B184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B158" i="1" s="1"/>
  <c r="C157" i="1"/>
  <c r="A86" i="1" l="1"/>
  <c r="A87" i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B16" i="1" l="1"/>
  <c r="B34" i="1" s="1"/>
  <c r="B53" i="1" s="1"/>
  <c r="B80" i="1" s="1"/>
  <c r="B107" i="1" s="1"/>
  <c r="B132" i="1" s="1"/>
  <c r="C16" i="1" l="1"/>
  <c r="C34" i="1" s="1"/>
  <c r="C53" i="1" s="1"/>
  <c r="C80" i="1" s="1"/>
  <c r="C107" i="1" s="1"/>
  <c r="C132" i="1" s="1"/>
  <c r="C17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C35" i="1" l="1"/>
  <c r="A40" i="1" l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C54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B133" i="1" l="1"/>
</calcChain>
</file>

<file path=xl/sharedStrings.xml><?xml version="1.0" encoding="utf-8"?>
<sst xmlns="http://schemas.openxmlformats.org/spreadsheetml/2006/main" count="396" uniqueCount="253">
  <si>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</si>
  <si>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</si>
  <si>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</si>
  <si>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</si>
  <si>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</si>
  <si>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</si>
  <si>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</si>
  <si>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</si>
  <si>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</si>
  <si>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</si>
  <si>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رضا میرزایی</t>
  </si>
  <si>
    <t>سند افتتاحیه حساب از قبل</t>
  </si>
  <si>
    <t>وجه</t>
  </si>
  <si>
    <t>1404/01/28</t>
  </si>
  <si>
    <t>وجه مکانیکی</t>
  </si>
  <si>
    <t>1404/02/11</t>
  </si>
  <si>
    <t>ویفر</t>
  </si>
  <si>
    <t>1404/02/22</t>
  </si>
  <si>
    <t>کیک</t>
  </si>
  <si>
    <t>1404/03/01</t>
  </si>
  <si>
    <t>سوسیس سس بستنی</t>
  </si>
  <si>
    <t>1404/03/06</t>
  </si>
  <si>
    <t>بستنی رامتین</t>
  </si>
  <si>
    <t>1403/03/14</t>
  </si>
  <si>
    <t>1404/03/16</t>
  </si>
  <si>
    <t>وجهخ</t>
  </si>
  <si>
    <t>1404/03/18</t>
  </si>
  <si>
    <t xml:space="preserve">بستنی   </t>
  </si>
  <si>
    <t>1404/03/19</t>
  </si>
  <si>
    <t>تنباکو</t>
  </si>
  <si>
    <t>1404/03/21</t>
  </si>
  <si>
    <t xml:space="preserve">سوسیس سس  </t>
  </si>
  <si>
    <t>1404/03/22</t>
  </si>
  <si>
    <t>تخمه</t>
  </si>
  <si>
    <t>1404/03/23</t>
  </si>
  <si>
    <t>رامتین سیگار</t>
  </si>
  <si>
    <t>های بای</t>
  </si>
  <si>
    <t>1404/03/25</t>
  </si>
  <si>
    <t>معدنی پودر شربت پفک</t>
  </si>
  <si>
    <t>1404/03/26</t>
  </si>
  <si>
    <t>سیگار</t>
  </si>
  <si>
    <t>1404/03/28</t>
  </si>
  <si>
    <t>سوسیس سس</t>
  </si>
  <si>
    <t>1404/04/30</t>
  </si>
  <si>
    <t>بستنی</t>
  </si>
  <si>
    <t>1404/04/04</t>
  </si>
  <si>
    <t>1404/04/5</t>
  </si>
  <si>
    <t>شیرینی لواشک سوسیس</t>
  </si>
  <si>
    <t>1404/04/06</t>
  </si>
  <si>
    <t>سیگار فندک</t>
  </si>
  <si>
    <t>1404/04.12</t>
  </si>
  <si>
    <t>سیکال</t>
  </si>
  <si>
    <t>1404/04/15</t>
  </si>
  <si>
    <t>1404/04/13</t>
  </si>
  <si>
    <t>1404/04/19</t>
  </si>
  <si>
    <t>1404/04/20</t>
  </si>
  <si>
    <t>1404/04/23</t>
  </si>
  <si>
    <t>1404/05/09</t>
  </si>
  <si>
    <t>باخت پاسور کیک رانی</t>
  </si>
  <si>
    <t>1404/05/15</t>
  </si>
  <si>
    <t>1404/05/22</t>
  </si>
  <si>
    <t>1404/05/23</t>
  </si>
  <si>
    <t xml:space="preserve">الباقی سیگار لواشک </t>
  </si>
  <si>
    <t>سیگار چیپس</t>
  </si>
  <si>
    <t>1404/05/26</t>
  </si>
  <si>
    <t>سیگار بستنی</t>
  </si>
  <si>
    <t>1404/05/31</t>
  </si>
  <si>
    <t>وسیله انبار</t>
  </si>
  <si>
    <t xml:space="preserve">چی پلت بستنی رانی کیک </t>
  </si>
  <si>
    <t>با سپاس از خرید شما</t>
  </si>
  <si>
    <t>مواد غذایی رحمتی</t>
  </si>
  <si>
    <t>بدهی شما با احتساب آخرین فاکتور :</t>
  </si>
  <si>
    <t>1404/06/04</t>
  </si>
  <si>
    <t>سیگار بستنی بیسکوییت</t>
  </si>
  <si>
    <t>1404/06/06</t>
  </si>
  <si>
    <t>1404/06/01</t>
  </si>
  <si>
    <t xml:space="preserve">دنگ آبجو </t>
  </si>
  <si>
    <t>1404/06/07</t>
  </si>
  <si>
    <t>1404/06/15</t>
  </si>
  <si>
    <t>بستنی سیگار</t>
  </si>
  <si>
    <t>سیگار لواشک سوسیس سس</t>
  </si>
  <si>
    <t>1404/06/25</t>
  </si>
  <si>
    <t>کیک کاکائو</t>
  </si>
  <si>
    <t>1404/06/27</t>
  </si>
  <si>
    <t>کیک رانی قهوه</t>
  </si>
  <si>
    <t>1404/06/28</t>
  </si>
  <si>
    <t>دنگ مزه بستنی اب سوسییس</t>
  </si>
  <si>
    <t>1404/06/30</t>
  </si>
  <si>
    <t>1404/07/02</t>
  </si>
  <si>
    <t>1404/07/03</t>
  </si>
  <si>
    <t xml:space="preserve">دنگ مزه  </t>
  </si>
  <si>
    <t>تنباکو ذغال</t>
  </si>
  <si>
    <t>1404/07/04</t>
  </si>
  <si>
    <t>قهوه پاستیل</t>
  </si>
  <si>
    <t>دنگ مزه</t>
  </si>
  <si>
    <t>1404/07/05</t>
  </si>
  <si>
    <t>1404/07/09</t>
  </si>
  <si>
    <t>سوسیس پچ پچ سیگار</t>
  </si>
  <si>
    <t>1404/07/11</t>
  </si>
  <si>
    <t>بستنی کیک رانی</t>
  </si>
  <si>
    <t>1404/07/16</t>
  </si>
  <si>
    <t>سوسیس کیک</t>
  </si>
  <si>
    <t>1404/07/17</t>
  </si>
  <si>
    <t>سیگار قهوه لواشک</t>
  </si>
  <si>
    <t>1404/07/08</t>
  </si>
  <si>
    <t>سیگار بستنی کیک رانی</t>
  </si>
  <si>
    <t>1404/07/24</t>
  </si>
  <si>
    <t>کرم ویفر کمپوت</t>
  </si>
  <si>
    <t>1404/07/27</t>
  </si>
  <si>
    <t>وجه علی احمد</t>
  </si>
  <si>
    <t>1404/08/01</t>
  </si>
  <si>
    <t>سیگار فندک کیک رانی</t>
  </si>
  <si>
    <t>وجه لنت</t>
  </si>
  <si>
    <t>1404/08/02</t>
  </si>
  <si>
    <t>حلواشکری بیسکوییت</t>
  </si>
  <si>
    <t>1404/08/07</t>
  </si>
  <si>
    <t>1404/08/09</t>
  </si>
  <si>
    <t>سیگار رانی کیک</t>
  </si>
  <si>
    <t>پفک</t>
  </si>
  <si>
    <t>1404/08/12</t>
  </si>
  <si>
    <t>1404/08/13</t>
  </si>
  <si>
    <t>1404/08/15</t>
  </si>
  <si>
    <t>وجه ضد یخ</t>
  </si>
  <si>
    <t>سیگار تنباکو</t>
  </si>
  <si>
    <t>1404/08/16</t>
  </si>
  <si>
    <t>کمپوت مغز تخمه سیگار</t>
  </si>
  <si>
    <t xml:space="preserve">کیک لواشک </t>
  </si>
  <si>
    <t>1404/08/17</t>
  </si>
  <si>
    <t>بیسکوییت کیک ویفر</t>
  </si>
  <si>
    <t>1404/08/18</t>
  </si>
  <si>
    <t>سیگار کیک</t>
  </si>
  <si>
    <t>1404/08/21</t>
  </si>
  <si>
    <t>1404/08/2</t>
  </si>
  <si>
    <t>سیگار کوپا</t>
  </si>
  <si>
    <t>1404/08/29</t>
  </si>
  <si>
    <t xml:space="preserve">سیگار رانی  </t>
  </si>
  <si>
    <t>لواشک تخمه</t>
  </si>
  <si>
    <t>`1404/08/30</t>
  </si>
  <si>
    <t xml:space="preserve">تخمه سوسیس کوپا </t>
  </si>
  <si>
    <t>1404/08/03</t>
  </si>
  <si>
    <t>شکلات</t>
  </si>
  <si>
    <t>ابمیوه</t>
  </si>
  <si>
    <t>1404/09/5</t>
  </si>
  <si>
    <t>1404/09/06</t>
  </si>
  <si>
    <t>ذغال چیپس</t>
  </si>
  <si>
    <t>1404/09/08</t>
  </si>
  <si>
    <t>سیگار بیسکوییت کوپا</t>
  </si>
  <si>
    <t>1404/09/12</t>
  </si>
  <si>
    <t>تاف ژیلت سیگار</t>
  </si>
  <si>
    <t>1404/09/14</t>
  </si>
  <si>
    <t>پفک تخمه</t>
  </si>
  <si>
    <t>1404/09/17</t>
  </si>
  <si>
    <t xml:space="preserve">وجه </t>
  </si>
  <si>
    <t>1404/09/21</t>
  </si>
  <si>
    <t>تخمه مغز تخمه ویفر</t>
  </si>
  <si>
    <t>1404/09/22</t>
  </si>
  <si>
    <t>1404/09/25</t>
  </si>
  <si>
    <t>1404/09/28</t>
  </si>
  <si>
    <t>سوسیس</t>
  </si>
  <si>
    <t>1404/10/01</t>
  </si>
  <si>
    <t>رامتین</t>
  </si>
  <si>
    <t>1404/10/27</t>
  </si>
  <si>
    <t>سیگلر چیپس</t>
  </si>
  <si>
    <t>1404/11/03</t>
  </si>
  <si>
    <t>1404/11/08</t>
  </si>
  <si>
    <t>تنباکوبیسکوییت</t>
  </si>
  <si>
    <t>ذرت</t>
  </si>
  <si>
    <t>1404/11/09</t>
  </si>
  <si>
    <t>قهوه</t>
  </si>
  <si>
    <t>1404/11/10</t>
  </si>
  <si>
    <t xml:space="preserve">چیپس </t>
  </si>
  <si>
    <t>ساقه طلایی ابمیوه</t>
  </si>
  <si>
    <t>1404/11/12</t>
  </si>
  <si>
    <t xml:space="preserve">ذغال سیگار </t>
  </si>
  <si>
    <t>1404/11/15</t>
  </si>
  <si>
    <t>14-4/11/12</t>
  </si>
  <si>
    <t>کوپا سالمین</t>
  </si>
  <si>
    <t>1404/11/17</t>
  </si>
  <si>
    <t>رنگارنگ</t>
  </si>
  <si>
    <t>1404/11/24</t>
  </si>
  <si>
    <t>شیر موز کیک</t>
  </si>
  <si>
    <t>1404/11/25</t>
  </si>
  <si>
    <t>ژل</t>
  </si>
  <si>
    <t>1404/11/26</t>
  </si>
  <si>
    <t>الباقی سیگار</t>
  </si>
  <si>
    <t>1404/12/01</t>
  </si>
  <si>
    <t>1404/12/04</t>
  </si>
  <si>
    <t>سیگول</t>
  </si>
  <si>
    <t>1404/12/06</t>
  </si>
  <si>
    <t>رانی کیک</t>
  </si>
  <si>
    <t>1404/12/08</t>
  </si>
  <si>
    <t>سیکول</t>
  </si>
  <si>
    <t>1404/12/14</t>
  </si>
  <si>
    <t xml:space="preserve">سیگار </t>
  </si>
  <si>
    <t>1404/12/15</t>
  </si>
  <si>
    <t>انمال</t>
  </si>
  <si>
    <t>1404/12/21</t>
  </si>
  <si>
    <t>فندک</t>
  </si>
  <si>
    <t>1404/12/23</t>
  </si>
  <si>
    <t>1404/12/24</t>
  </si>
  <si>
    <t>1404/12/25</t>
  </si>
  <si>
    <t>1404/12/26</t>
  </si>
  <si>
    <t>1404/12/28</t>
  </si>
  <si>
    <t>1405/01/08</t>
  </si>
  <si>
    <t>1405/01/09</t>
  </si>
  <si>
    <t>1405/01/12</t>
  </si>
  <si>
    <t>سیگار کرانچی</t>
  </si>
  <si>
    <t>چیپس تخمه شیر موز</t>
  </si>
  <si>
    <t>دنگ ساندویچ</t>
  </si>
  <si>
    <t>1405/01/14</t>
  </si>
  <si>
    <t>تخمه ادامس</t>
  </si>
  <si>
    <t>1405/01/16</t>
  </si>
  <si>
    <t>شیر موز پچ پچ سیگار</t>
  </si>
  <si>
    <t>1405/01/20</t>
  </si>
  <si>
    <t>کیک شیر موز</t>
  </si>
  <si>
    <t>شیر موز کیک سیگار</t>
  </si>
  <si>
    <t>1405/01/21</t>
  </si>
  <si>
    <t>مزه</t>
  </si>
  <si>
    <t>1405/01/22</t>
  </si>
  <si>
    <t>سیگار شیر موز کیک</t>
  </si>
  <si>
    <t>1405/01/23</t>
  </si>
  <si>
    <t xml:space="preserve">شیر موز چیپس </t>
  </si>
  <si>
    <t>1405/01/24</t>
  </si>
  <si>
    <t>1405/01/28</t>
  </si>
  <si>
    <t xml:space="preserve">سیگار  </t>
  </si>
  <si>
    <t>1405/01/40</t>
  </si>
  <si>
    <t xml:space="preserve">کیک </t>
  </si>
  <si>
    <t>1405/01/31</t>
  </si>
  <si>
    <t>ان گی</t>
  </si>
  <si>
    <t>1405/02/01</t>
  </si>
  <si>
    <t>سیگار کوپا بستنی</t>
  </si>
  <si>
    <t>1405/02/03</t>
  </si>
  <si>
    <t>ان گی سیگار</t>
  </si>
  <si>
    <t>1405/02/04</t>
  </si>
  <si>
    <t>ممد امین سیگار</t>
  </si>
  <si>
    <t>1405/02/06</t>
  </si>
  <si>
    <t>وجه ممد امین</t>
  </si>
  <si>
    <t>1405/02/09</t>
  </si>
  <si>
    <t>1405/02/10</t>
  </si>
  <si>
    <t>سالار اسنک</t>
  </si>
  <si>
    <t>1405/02/20</t>
  </si>
  <si>
    <t>1406/03/22</t>
  </si>
  <si>
    <t>کیک مخر نخمه</t>
  </si>
  <si>
    <t>1405/04/05</t>
  </si>
  <si>
    <t>جمع کل حساب با احتساب آخرین فاکتور :</t>
  </si>
  <si>
    <t>1405/04/18</t>
  </si>
  <si>
    <t>1405/04/19</t>
  </si>
  <si>
    <t>1405/06/27</t>
  </si>
  <si>
    <t>چیپس سیگار</t>
  </si>
  <si>
    <t>1405/07/10</t>
  </si>
  <si>
    <t xml:space="preserve">چیپس  </t>
  </si>
  <si>
    <t>1405/08/08</t>
  </si>
  <si>
    <t>سیگارکیک رانی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</si>
</sst>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3" fontId="0" fillId="0" borderId="1" xfId="0" applyNumberFormat="1" applyBorder="1"/>
    <xf numFmtId="3" fontId="0" fillId="0" borderId="0" xfId="0" applyNumberFormat="1"/>
    <xf numFmtId="3" fontId="5" fillId="0" borderId="1" xfId="0" applyNumberFormat="1" applyFont="1" applyBorder="1"/>
    <xf numFmtId="3" fontId="0" fillId="0" borderId="1" xfId="0" applyNumberFormat="1" applyFont="1" applyBorder="1"/>
    <xf numFmtId="3" fontId="1" fillId="0" borderId="0" xfId="0" applyNumberFormat="1" applyFont="1"/>
    <xf numFmtId="3" fontId="1" fillId="0" borderId="0" xfId="0" applyNumberFormat="1" applyFont="1" applyFill="1"/>
    <xf numFmtId="0" fontId="0" fillId="0" borderId="2" xfId="0" applyFill="1" applyBorder="1"/>
    <xf numFmtId="3" fontId="3" fillId="0" borderId="1" xfId="0" applyNumberFormat="1" applyFont="1" applyBorder="1"/>
    <xf numFmtId="3" fontId="4" fillId="0" borderId="1" xfId="0" applyNumberFormat="1" applyFont="1" applyBorder="1"/>
    <xf numFmtId="3" fontId="2" fillId="0" borderId="1" xfId="0" applyNumberFormat="1" applyFont="1" applyBorder="1"/>
    <xf numFmtId="3" fontId="5" fillId="0" borderId="0" xfId="0" applyNumberFormat="1" applyFon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"/>
  <sheetViews>
    <sheetView tabSelected="1" topLeftCell="A202" zoomScaleNormal="100" workbookViewId="0">
      <selection activeCell="B209" sqref="B209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1.625" customWidth="1"/>
    <col min="6" max="6" width="15.375" customWidth="1"/>
  </cols>
  <sheetData>
    <row r="1" spans="1:8" ht="42" customHeight="1" x14ac:dyDescent="0.3">
      <c r="A1" t="s">
        <v>10</v>
      </c>
      <c r="B1" s="2" t="s">
        <v>0</v>
      </c>
      <c r="C1" s="2"/>
    </row>
    <row r="2" spans="1:8" ht="42.75" customHeight="1" x14ac:dyDescent="0.35">
      <c r="A2" s="14" t="s">
        <v>4</v>
      </c>
      <c r="B2" s="15" t="s">
        <v>3</v>
      </c>
      <c r="C2" s="14" t="s">
        <v>1</v>
      </c>
      <c r="D2" s="16" t="s">
        <v>2</v>
      </c>
      <c r="E2" s="16" t="s">
        <v>7</v>
      </c>
      <c r="H2" s="8">
        <f>B210</f>
        <v>4465000</v>
      </c>
    </row>
    <row r="3" spans="1:8" ht="42.75" customHeight="1" x14ac:dyDescent="0.2">
      <c r="A3" s="7">
        <f xml:space="preserve"> B3</f>
        <v>815000</v>
      </c>
      <c r="B3" s="7">
        <v>815000</v>
      </c>
      <c r="C3" s="7"/>
      <c r="D3" s="7" t="s">
        <v>11</v>
      </c>
      <c r="E3" s="7"/>
    </row>
    <row r="4" spans="1:8" ht="43.5" customHeight="1" x14ac:dyDescent="0.2">
      <c r="A4" s="7">
        <f xml:space="preserve"> A3 + B4-C4</f>
        <v>800000</v>
      </c>
      <c r="B4" s="7"/>
      <c r="C4" s="7">
        <v>15000</v>
      </c>
      <c r="D4" s="7" t="s">
        <v>12</v>
      </c>
      <c r="E4" s="7"/>
    </row>
    <row r="5" spans="1:8" ht="43.5" customHeight="1" x14ac:dyDescent="0.2">
      <c r="A5" s="7">
        <f t="shared" ref="A5:A15" si="0" xml:space="preserve"> A4 + B5-C5</f>
        <v>700000</v>
      </c>
      <c r="B5" s="7"/>
      <c r="C5" s="7">
        <v>100000</v>
      </c>
      <c r="D5" s="7" t="s">
        <v>14</v>
      </c>
      <c r="E5" s="7" t="s">
        <v>13</v>
      </c>
    </row>
    <row r="6" spans="1:8" ht="42.75" customHeight="1" x14ac:dyDescent="0.2">
      <c r="A6" s="7">
        <f t="shared" si="0"/>
        <v>705000</v>
      </c>
      <c r="B6" s="7">
        <v>5000</v>
      </c>
      <c r="C6" s="7"/>
      <c r="D6" s="7" t="s">
        <v>16</v>
      </c>
      <c r="E6" s="7" t="s">
        <v>15</v>
      </c>
    </row>
    <row r="7" spans="1:8" ht="43.5" customHeight="1" x14ac:dyDescent="0.2">
      <c r="A7" s="7">
        <f t="shared" si="0"/>
        <v>725000</v>
      </c>
      <c r="B7" s="7">
        <v>20000</v>
      </c>
      <c r="C7" s="7"/>
      <c r="D7" s="7" t="s">
        <v>18</v>
      </c>
      <c r="E7" s="7" t="s">
        <v>17</v>
      </c>
    </row>
    <row r="8" spans="1:8" ht="42.75" customHeight="1" x14ac:dyDescent="0.2">
      <c r="A8" s="7">
        <f t="shared" si="0"/>
        <v>777000</v>
      </c>
      <c r="B8" s="7">
        <v>52000</v>
      </c>
      <c r="C8" s="7"/>
      <c r="D8" s="7" t="s">
        <v>20</v>
      </c>
      <c r="E8" s="7" t="s">
        <v>19</v>
      </c>
    </row>
    <row r="9" spans="1:8" ht="43.5" customHeight="1" x14ac:dyDescent="0.2">
      <c r="A9" s="7">
        <f t="shared" si="0"/>
        <v>822000</v>
      </c>
      <c r="B9" s="7">
        <v>45000</v>
      </c>
      <c r="C9" s="7"/>
      <c r="D9" s="7" t="s">
        <v>22</v>
      </c>
      <c r="E9" s="7" t="s">
        <v>21</v>
      </c>
    </row>
    <row r="10" spans="1:8" ht="43.5" customHeight="1" x14ac:dyDescent="0.2">
      <c r="A10" s="7">
        <f t="shared" si="0"/>
        <v>722000</v>
      </c>
      <c r="B10" s="7"/>
      <c r="C10" s="7">
        <v>100000</v>
      </c>
      <c r="D10" s="7" t="s">
        <v>12</v>
      </c>
      <c r="E10" s="7" t="s">
        <v>23</v>
      </c>
    </row>
    <row r="11" spans="1:8" ht="42.75" customHeight="1" x14ac:dyDescent="0.2">
      <c r="A11" s="7">
        <f t="shared" si="0"/>
        <v>522000</v>
      </c>
      <c r="B11" s="7"/>
      <c r="C11" s="7">
        <v>200000</v>
      </c>
      <c r="D11" s="7" t="s">
        <v>25</v>
      </c>
      <c r="E11" s="7" t="s">
        <v>24</v>
      </c>
    </row>
    <row r="12" spans="1:8" ht="42" customHeight="1" x14ac:dyDescent="0.2">
      <c r="A12" s="7">
        <f t="shared" si="0"/>
        <v>547000</v>
      </c>
      <c r="B12" s="7">
        <v>25000</v>
      </c>
      <c r="C12" s="7"/>
      <c r="D12" s="7" t="s">
        <v>27</v>
      </c>
      <c r="E12" s="7" t="s">
        <v>26</v>
      </c>
    </row>
    <row r="13" spans="1:8" ht="43.5" customHeight="1" x14ac:dyDescent="0.2">
      <c r="A13" s="7">
        <f t="shared" si="0"/>
        <v>637000</v>
      </c>
      <c r="B13" s="7">
        <v>90000</v>
      </c>
      <c r="C13" s="7"/>
      <c r="D13" s="7" t="s">
        <v>29</v>
      </c>
      <c r="E13" s="7" t="s">
        <v>28</v>
      </c>
    </row>
    <row r="14" spans="1:8" ht="42" customHeight="1" x14ac:dyDescent="0.2">
      <c r="A14" s="7">
        <f t="shared" si="0"/>
        <v>667000</v>
      </c>
      <c r="B14" s="7">
        <v>30000</v>
      </c>
      <c r="C14" s="7"/>
      <c r="D14" s="7" t="s">
        <v>31</v>
      </c>
      <c r="E14" s="7" t="s">
        <v>30</v>
      </c>
    </row>
    <row r="15" spans="1:8" ht="42.75" customHeight="1" x14ac:dyDescent="0.2">
      <c r="A15" s="7">
        <f t="shared" si="0"/>
        <v>707000</v>
      </c>
      <c r="B15" s="7">
        <v>40000</v>
      </c>
      <c r="C15" s="7"/>
      <c r="D15" s="7" t="s">
        <v>33</v>
      </c>
      <c r="E15" s="7" t="s">
        <v>32</v>
      </c>
    </row>
    <row r="16" spans="1:8" ht="15" customHeight="1" x14ac:dyDescent="0.2">
      <c r="A16" s="8"/>
      <c r="B16" s="8">
        <f xml:space="preserve"> B3 + B4 + B5 + B6 + B7 + B8 + B9 +B10 + B11 + B12 + B13 + B14 + B15</f>
        <v>1122000</v>
      </c>
      <c r="C16" s="8">
        <f xml:space="preserve"> C3 + C4 + C5 + C6 + C7 + C8 + C9 + C10 + C11 + C12 + C13 + C14 + C15</f>
        <v>415000</v>
      </c>
      <c r="D16" s="8"/>
      <c r="E16" s="8"/>
    </row>
    <row r="17" spans="1:5" ht="43.5" customHeight="1" x14ac:dyDescent="0.25">
      <c r="A17" s="8"/>
      <c r="B17" s="8"/>
      <c r="C17" s="8">
        <f xml:space="preserve"> A15</f>
        <v>707000</v>
      </c>
      <c r="D17" s="17" t="s">
        <v>8</v>
      </c>
      <c r="E17" s="17" t="s">
        <v>9</v>
      </c>
    </row>
    <row r="18" spans="1:5" ht="45" customHeight="1" x14ac:dyDescent="0.25">
      <c r="A18" s="17" t="s">
        <v>6</v>
      </c>
      <c r="B18" s="8"/>
      <c r="C18" s="8"/>
      <c r="D18" s="17" t="s">
        <v>5</v>
      </c>
      <c r="E18" s="8"/>
    </row>
    <row r="19" spans="1:5" ht="44.25" customHeight="1" x14ac:dyDescent="0.3">
      <c r="A19" s="8" t="s">
        <v>10</v>
      </c>
      <c r="B19" s="11" t="s">
        <v>0</v>
      </c>
      <c r="C19" s="8"/>
      <c r="D19" s="8"/>
      <c r="E19" s="8"/>
    </row>
    <row r="20" spans="1:5" ht="42.75" customHeight="1" x14ac:dyDescent="0.35">
      <c r="A20" s="14" t="s">
        <v>4</v>
      </c>
      <c r="B20" s="15" t="s">
        <v>3</v>
      </c>
      <c r="C20" s="14" t="s">
        <v>1</v>
      </c>
      <c r="D20" s="16" t="s">
        <v>2</v>
      </c>
      <c r="E20" s="16" t="s">
        <v>7</v>
      </c>
    </row>
    <row r="21" spans="1:5" ht="41.25" customHeight="1" x14ac:dyDescent="0.2">
      <c r="A21" s="7">
        <f xml:space="preserve"> C17</f>
        <v>707000</v>
      </c>
      <c r="B21" s="7">
        <v>65000</v>
      </c>
      <c r="C21" s="7"/>
      <c r="D21" s="7" t="s">
        <v>35</v>
      </c>
      <c r="E21" s="7" t="s">
        <v>34</v>
      </c>
    </row>
    <row r="22" spans="1:5" ht="43.5" customHeight="1" x14ac:dyDescent="0.2">
      <c r="A22" s="7">
        <f xml:space="preserve"> A21 + B22-C22</f>
        <v>727000</v>
      </c>
      <c r="B22" s="7">
        <v>20000</v>
      </c>
      <c r="C22" s="7"/>
      <c r="D22" s="7" t="s">
        <v>36</v>
      </c>
      <c r="E22" s="7" t="s">
        <v>34</v>
      </c>
    </row>
    <row r="23" spans="1:5" ht="42" customHeight="1" x14ac:dyDescent="0.2">
      <c r="A23" s="7">
        <f t="shared" ref="A23:A33" si="1" xml:space="preserve"> A22 + B23-C23</f>
        <v>781000</v>
      </c>
      <c r="B23" s="7">
        <v>54000</v>
      </c>
      <c r="C23" s="7"/>
      <c r="D23" s="7" t="s">
        <v>38</v>
      </c>
      <c r="E23" s="7" t="s">
        <v>37</v>
      </c>
    </row>
    <row r="24" spans="1:5" ht="42.75" customHeight="1" x14ac:dyDescent="0.2">
      <c r="A24" s="7">
        <f t="shared" si="1"/>
        <v>836000</v>
      </c>
      <c r="B24" s="7">
        <v>55000</v>
      </c>
      <c r="C24" s="7"/>
      <c r="D24" s="7" t="s">
        <v>40</v>
      </c>
      <c r="E24" s="7" t="s">
        <v>39</v>
      </c>
    </row>
    <row r="25" spans="1:5" ht="42.75" customHeight="1" x14ac:dyDescent="0.2">
      <c r="A25" s="7">
        <f t="shared" si="1"/>
        <v>901000</v>
      </c>
      <c r="B25" s="7">
        <v>65000</v>
      </c>
      <c r="C25" s="7"/>
      <c r="D25" s="7" t="s">
        <v>42</v>
      </c>
      <c r="E25" s="7" t="s">
        <v>41</v>
      </c>
    </row>
    <row r="26" spans="1:5" ht="45" customHeight="1" x14ac:dyDescent="0.2">
      <c r="A26" s="7">
        <f t="shared" si="1"/>
        <v>976000</v>
      </c>
      <c r="B26" s="7">
        <v>75000</v>
      </c>
      <c r="C26" s="7"/>
      <c r="D26" s="7" t="s">
        <v>44</v>
      </c>
      <c r="E26" s="7" t="s">
        <v>43</v>
      </c>
    </row>
    <row r="27" spans="1:5" ht="42" customHeight="1" x14ac:dyDescent="0.2">
      <c r="A27" s="7">
        <f t="shared" si="1"/>
        <v>776000</v>
      </c>
      <c r="B27" s="7"/>
      <c r="C27" s="7">
        <v>200000</v>
      </c>
      <c r="D27" s="7" t="s">
        <v>12</v>
      </c>
      <c r="E27" s="7" t="s">
        <v>45</v>
      </c>
    </row>
    <row r="28" spans="1:5" ht="43.5" customHeight="1" x14ac:dyDescent="0.2">
      <c r="A28" s="7">
        <f t="shared" si="1"/>
        <v>786000</v>
      </c>
      <c r="B28" s="7">
        <v>10000</v>
      </c>
      <c r="C28" s="7"/>
      <c r="D28" s="7" t="s">
        <v>18</v>
      </c>
      <c r="E28" s="7" t="s">
        <v>45</v>
      </c>
    </row>
    <row r="29" spans="1:5" ht="43.5" customHeight="1" x14ac:dyDescent="0.2">
      <c r="A29" s="7">
        <f t="shared" si="1"/>
        <v>888000</v>
      </c>
      <c r="B29" s="7">
        <v>102000</v>
      </c>
      <c r="C29" s="7"/>
      <c r="D29" s="7" t="s">
        <v>47</v>
      </c>
      <c r="E29" s="7" t="s">
        <v>46</v>
      </c>
    </row>
    <row r="30" spans="1:5" ht="42.75" customHeight="1" x14ac:dyDescent="0.2">
      <c r="A30" s="7">
        <f t="shared" si="1"/>
        <v>1008000</v>
      </c>
      <c r="B30" s="7">
        <v>120000</v>
      </c>
      <c r="C30" s="7"/>
      <c r="D30" s="7" t="s">
        <v>49</v>
      </c>
      <c r="E30" s="7" t="s">
        <v>48</v>
      </c>
    </row>
    <row r="31" spans="1:5" ht="43.5" customHeight="1" x14ac:dyDescent="0.2">
      <c r="A31" s="7">
        <f t="shared" si="1"/>
        <v>1023000</v>
      </c>
      <c r="B31" s="7">
        <v>15000</v>
      </c>
      <c r="C31" s="7"/>
      <c r="D31" s="7" t="s">
        <v>51</v>
      </c>
      <c r="E31" s="7" t="s">
        <v>50</v>
      </c>
    </row>
    <row r="32" spans="1:5" ht="43.5" customHeight="1" x14ac:dyDescent="0.2">
      <c r="A32" s="7">
        <f t="shared" si="1"/>
        <v>1088000</v>
      </c>
      <c r="B32" s="7">
        <v>65000</v>
      </c>
      <c r="C32" s="7"/>
      <c r="D32" s="7" t="s">
        <v>40</v>
      </c>
      <c r="E32" s="7" t="s">
        <v>53</v>
      </c>
    </row>
    <row r="33" spans="1:5" ht="43.5" customHeight="1" x14ac:dyDescent="0.2">
      <c r="A33" s="7">
        <f t="shared" si="1"/>
        <v>1153000</v>
      </c>
      <c r="B33" s="7">
        <v>65000</v>
      </c>
      <c r="C33" s="7"/>
      <c r="D33" s="7" t="s">
        <v>40</v>
      </c>
      <c r="E33" s="7" t="s">
        <v>52</v>
      </c>
    </row>
    <row r="34" spans="1:5" ht="15.75" customHeight="1" x14ac:dyDescent="0.2">
      <c r="A34" s="8"/>
      <c r="B34" s="8">
        <f xml:space="preserve"> B21 + B22 + B23 + B24 + B25 + B26 + B27 +B28 + B29 + B30 + B31 + B32 + B33+ B16</f>
        <v>1833000</v>
      </c>
      <c r="C34" s="8">
        <f xml:space="preserve"> C21 + C22 + C23 + C24 + C25 + C26 + C27 + C28 + C29 + C30 + C31 + C32 + C33 +C16</f>
        <v>615000</v>
      </c>
      <c r="D34" s="8"/>
      <c r="E34" s="8"/>
    </row>
    <row r="35" spans="1:5" ht="42.75" customHeight="1" x14ac:dyDescent="0.25">
      <c r="A35" s="8"/>
      <c r="B35" s="8"/>
      <c r="C35" s="8">
        <f xml:space="preserve"> A33</f>
        <v>1153000</v>
      </c>
      <c r="D35" s="17" t="s">
        <v>8</v>
      </c>
      <c r="E35" s="17" t="s">
        <v>9</v>
      </c>
    </row>
    <row r="36" spans="1:5" ht="41.25" customHeight="1" x14ac:dyDescent="0.25">
      <c r="A36" s="6" t="s">
        <v>6</v>
      </c>
      <c r="D36" s="6" t="s">
        <v>5</v>
      </c>
    </row>
    <row r="38" spans="1:5" ht="42.75" customHeight="1" x14ac:dyDescent="0.3">
      <c r="A38" t="s">
        <v>10</v>
      </c>
      <c r="B38" s="2" t="s">
        <v>0</v>
      </c>
    </row>
    <row r="39" spans="1:5" ht="42" customHeight="1" x14ac:dyDescent="0.35">
      <c r="A39" s="3" t="s">
        <v>4</v>
      </c>
      <c r="B39" s="4" t="s">
        <v>3</v>
      </c>
      <c r="C39" s="3" t="s">
        <v>1</v>
      </c>
      <c r="D39" s="5" t="s">
        <v>2</v>
      </c>
      <c r="E39" s="5" t="s">
        <v>7</v>
      </c>
    </row>
    <row r="40" spans="1:5" ht="41.25" customHeight="1" x14ac:dyDescent="0.2">
      <c r="A40" s="7">
        <f xml:space="preserve"> C35</f>
        <v>1153000</v>
      </c>
      <c r="B40" s="7"/>
      <c r="C40" s="7">
        <v>200000</v>
      </c>
      <c r="D40" s="1" t="s">
        <v>12</v>
      </c>
      <c r="E40" s="1" t="s">
        <v>54</v>
      </c>
    </row>
    <row r="41" spans="1:5" ht="42.75" customHeight="1" x14ac:dyDescent="0.2">
      <c r="A41" s="7">
        <f xml:space="preserve"> A40 + B41-C41</f>
        <v>1198000</v>
      </c>
      <c r="B41" s="7">
        <v>45000</v>
      </c>
      <c r="C41" s="7"/>
      <c r="D41" s="1" t="s">
        <v>44</v>
      </c>
      <c r="E41" s="1" t="s">
        <v>55</v>
      </c>
    </row>
    <row r="42" spans="1:5" ht="42.75" customHeight="1" x14ac:dyDescent="0.2">
      <c r="A42" s="7">
        <f t="shared" ref="A42:A52" si="2" xml:space="preserve"> A41 + B42-C42</f>
        <v>1267000</v>
      </c>
      <c r="B42" s="7">
        <v>69000</v>
      </c>
      <c r="C42" s="7"/>
      <c r="D42" s="1" t="s">
        <v>42</v>
      </c>
      <c r="E42" s="1" t="s">
        <v>55</v>
      </c>
    </row>
    <row r="43" spans="1:5" ht="42.75" customHeight="1" x14ac:dyDescent="0.2">
      <c r="A43" s="7">
        <f t="shared" si="2"/>
        <v>967000</v>
      </c>
      <c r="B43" s="7"/>
      <c r="C43" s="7">
        <v>300000</v>
      </c>
      <c r="D43" s="1" t="s">
        <v>12</v>
      </c>
      <c r="E43" s="1" t="s">
        <v>56</v>
      </c>
    </row>
    <row r="44" spans="1:5" ht="42.75" customHeight="1" x14ac:dyDescent="0.2">
      <c r="A44" s="7">
        <f t="shared" si="2"/>
        <v>1567000</v>
      </c>
      <c r="B44" s="7">
        <v>600000</v>
      </c>
      <c r="C44" s="7"/>
      <c r="D44" s="1" t="s">
        <v>58</v>
      </c>
      <c r="E44" s="1" t="s">
        <v>57</v>
      </c>
    </row>
    <row r="45" spans="1:5" ht="42" customHeight="1" x14ac:dyDescent="0.2">
      <c r="A45" s="7">
        <f t="shared" si="2"/>
        <v>1267000</v>
      </c>
      <c r="B45" s="7"/>
      <c r="C45" s="7">
        <v>300000</v>
      </c>
      <c r="D45" s="1" t="s">
        <v>12</v>
      </c>
      <c r="E45" s="1" t="s">
        <v>59</v>
      </c>
    </row>
    <row r="46" spans="1:5" ht="42" customHeight="1" x14ac:dyDescent="0.2">
      <c r="A46" s="7">
        <f t="shared" si="2"/>
        <v>767000</v>
      </c>
      <c r="B46" s="7"/>
      <c r="C46" s="7">
        <v>500000</v>
      </c>
      <c r="D46" s="1" t="s">
        <v>12</v>
      </c>
      <c r="E46" s="1" t="s">
        <v>60</v>
      </c>
    </row>
    <row r="47" spans="1:5" ht="42.75" customHeight="1" x14ac:dyDescent="0.2">
      <c r="A47" s="7">
        <f t="shared" si="2"/>
        <v>827000</v>
      </c>
      <c r="B47" s="7">
        <v>60000</v>
      </c>
      <c r="C47" s="7"/>
      <c r="D47" s="1" t="s">
        <v>62</v>
      </c>
      <c r="E47" s="1" t="s">
        <v>61</v>
      </c>
    </row>
    <row r="48" spans="1:5" ht="43.5" customHeight="1" x14ac:dyDescent="0.2">
      <c r="A48" s="7">
        <f t="shared" si="2"/>
        <v>917000</v>
      </c>
      <c r="B48" s="7">
        <v>90000</v>
      </c>
      <c r="C48" s="7"/>
      <c r="D48" s="1" t="s">
        <v>63</v>
      </c>
      <c r="E48" s="1" t="s">
        <v>61</v>
      </c>
    </row>
    <row r="49" spans="1:5" ht="41.25" customHeight="1" x14ac:dyDescent="0.2">
      <c r="A49" s="7">
        <f t="shared" si="2"/>
        <v>1037000</v>
      </c>
      <c r="B49" s="7">
        <v>120000</v>
      </c>
      <c r="C49" s="7"/>
      <c r="D49" s="1" t="s">
        <v>65</v>
      </c>
      <c r="E49" s="1" t="s">
        <v>64</v>
      </c>
    </row>
    <row r="50" spans="1:5" ht="42" customHeight="1" x14ac:dyDescent="0.2">
      <c r="A50" s="7">
        <f t="shared" si="2"/>
        <v>1237000</v>
      </c>
      <c r="B50" s="7">
        <v>200000</v>
      </c>
      <c r="C50" s="7"/>
      <c r="D50" s="1" t="s">
        <v>67</v>
      </c>
      <c r="E50" s="1" t="s">
        <v>66</v>
      </c>
    </row>
    <row r="51" spans="1:5" ht="42.75" customHeight="1" x14ac:dyDescent="0.2">
      <c r="A51" s="7">
        <f t="shared" si="2"/>
        <v>1297000</v>
      </c>
      <c r="B51" s="7">
        <v>60000</v>
      </c>
      <c r="C51" s="7"/>
      <c r="D51" s="1" t="s">
        <v>40</v>
      </c>
      <c r="E51" s="1" t="s">
        <v>66</v>
      </c>
    </row>
    <row r="52" spans="1:5" ht="42.75" customHeight="1" x14ac:dyDescent="0.2">
      <c r="A52" s="7">
        <f t="shared" si="2"/>
        <v>1414000</v>
      </c>
      <c r="B52" s="7">
        <v>117000</v>
      </c>
      <c r="C52" s="7"/>
      <c r="D52" s="1" t="s">
        <v>68</v>
      </c>
      <c r="E52" s="1" t="s">
        <v>66</v>
      </c>
    </row>
    <row r="53" spans="1:5" ht="42" customHeight="1" x14ac:dyDescent="0.2">
      <c r="A53" s="8"/>
      <c r="B53" s="8">
        <f xml:space="preserve"> B40 + B41 + B42 + B43 + B44 + B45 + B46 +B47 + B48 + B49 + B50 + B51 + B52+ B34</f>
        <v>3194000</v>
      </c>
      <c r="C53" s="8">
        <f xml:space="preserve"> C40 + C41 + C42 + C43 + C44 + C45 + C46 + C47 + C48 + C49 + C50 + C51 + C52 +C34</f>
        <v>1915000</v>
      </c>
    </row>
    <row r="54" spans="1:5" ht="42" customHeight="1" x14ac:dyDescent="0.25">
      <c r="A54" s="8"/>
      <c r="B54" s="8"/>
      <c r="C54" s="8">
        <f xml:space="preserve"> A52</f>
        <v>1414000</v>
      </c>
      <c r="D54" s="6" t="s">
        <v>8</v>
      </c>
      <c r="E54" s="6" t="s">
        <v>9</v>
      </c>
    </row>
    <row r="55" spans="1:5" ht="15" x14ac:dyDescent="0.25">
      <c r="A55" s="6" t="s">
        <v>6</v>
      </c>
      <c r="D55" s="6" t="s">
        <v>5</v>
      </c>
    </row>
    <row r="57" spans="1:5" ht="29.25" customHeight="1" x14ac:dyDescent="0.3">
      <c r="A57" t="s">
        <v>10</v>
      </c>
      <c r="B57" s="2" t="s">
        <v>0</v>
      </c>
    </row>
    <row r="58" spans="1:5" ht="29.25" customHeight="1" x14ac:dyDescent="0.35">
      <c r="A58" s="3" t="s">
        <v>4</v>
      </c>
      <c r="B58" s="4" t="s">
        <v>3</v>
      </c>
      <c r="C58" s="3" t="s">
        <v>1</v>
      </c>
      <c r="D58" s="5" t="s">
        <v>2</v>
      </c>
      <c r="E58" s="5" t="s">
        <v>7</v>
      </c>
    </row>
    <row r="59" spans="1:5" ht="27.75" customHeight="1" x14ac:dyDescent="0.2">
      <c r="A59" s="7">
        <f>C54</f>
        <v>1414000</v>
      </c>
      <c r="B59" s="7">
        <v>272000</v>
      </c>
      <c r="C59" s="7"/>
      <c r="D59" s="7" t="s">
        <v>73</v>
      </c>
      <c r="E59" s="1" t="s">
        <v>72</v>
      </c>
    </row>
    <row r="60" spans="1:5" ht="27.75" customHeight="1" x14ac:dyDescent="0.2">
      <c r="A60" s="7">
        <f xml:space="preserve"> A59 + B60-C60</f>
        <v>1489000</v>
      </c>
      <c r="B60" s="7">
        <v>75000</v>
      </c>
      <c r="C60" s="7"/>
      <c r="D60" s="7" t="s">
        <v>49</v>
      </c>
      <c r="E60" s="1" t="s">
        <v>74</v>
      </c>
    </row>
    <row r="61" spans="1:5" ht="27.75" customHeight="1" x14ac:dyDescent="0.2">
      <c r="A61" s="7">
        <f t="shared" ref="A61:A79" si="3" xml:space="preserve"> A60 + B61-C61</f>
        <v>1534000</v>
      </c>
      <c r="B61" s="7">
        <v>45000</v>
      </c>
      <c r="C61" s="7"/>
      <c r="D61" s="7" t="s">
        <v>76</v>
      </c>
      <c r="E61" s="1" t="s">
        <v>75</v>
      </c>
    </row>
    <row r="62" spans="1:5" ht="28.5" customHeight="1" x14ac:dyDescent="0.2">
      <c r="A62" s="7">
        <f t="shared" si="3"/>
        <v>1034000</v>
      </c>
      <c r="B62" s="7"/>
      <c r="C62" s="7">
        <v>500000</v>
      </c>
      <c r="D62" s="7" t="s">
        <v>12</v>
      </c>
      <c r="E62" s="1" t="s">
        <v>77</v>
      </c>
    </row>
    <row r="63" spans="1:5" ht="28.5" customHeight="1" x14ac:dyDescent="0.2">
      <c r="A63" s="7">
        <f t="shared" si="3"/>
        <v>1124000</v>
      </c>
      <c r="B63" s="7">
        <v>90000</v>
      </c>
      <c r="C63" s="7"/>
      <c r="D63" s="7" t="s">
        <v>79</v>
      </c>
      <c r="E63" s="1" t="s">
        <v>78</v>
      </c>
    </row>
    <row r="64" spans="1:5" ht="29.25" customHeight="1" x14ac:dyDescent="0.2">
      <c r="A64" s="7">
        <f t="shared" si="3"/>
        <v>1289000</v>
      </c>
      <c r="B64" s="7">
        <v>165000</v>
      </c>
      <c r="C64" s="7"/>
      <c r="D64" s="7" t="s">
        <v>80</v>
      </c>
      <c r="E64" s="1" t="s">
        <v>78</v>
      </c>
    </row>
    <row r="65" spans="1:6" ht="28.5" customHeight="1" x14ac:dyDescent="0.2">
      <c r="A65" s="7">
        <f t="shared" si="3"/>
        <v>1319000</v>
      </c>
      <c r="B65" s="7">
        <v>30000</v>
      </c>
      <c r="C65" s="7"/>
      <c r="D65" s="7" t="s">
        <v>82</v>
      </c>
      <c r="E65" s="1" t="s">
        <v>81</v>
      </c>
    </row>
    <row r="66" spans="1:6" ht="27.75" customHeight="1" x14ac:dyDescent="0.2">
      <c r="A66" s="7">
        <f t="shared" si="3"/>
        <v>1426000</v>
      </c>
      <c r="B66" s="7">
        <v>107000</v>
      </c>
      <c r="C66" s="7"/>
      <c r="D66" s="7" t="s">
        <v>84</v>
      </c>
      <c r="E66" s="1" t="s">
        <v>83</v>
      </c>
    </row>
    <row r="67" spans="1:6" ht="28.5" customHeight="1" x14ac:dyDescent="0.2">
      <c r="A67" s="7">
        <f t="shared" si="3"/>
        <v>1511000</v>
      </c>
      <c r="B67" s="7">
        <v>85000</v>
      </c>
      <c r="C67" s="7"/>
      <c r="D67" s="7" t="s">
        <v>86</v>
      </c>
      <c r="E67" s="1" t="s">
        <v>85</v>
      </c>
    </row>
    <row r="68" spans="1:6" ht="27.75" customHeight="1" x14ac:dyDescent="0.2">
      <c r="A68" s="7">
        <f t="shared" si="3"/>
        <v>11000</v>
      </c>
      <c r="B68" s="7"/>
      <c r="C68" s="7">
        <v>1500000</v>
      </c>
      <c r="D68" s="7" t="s">
        <v>12</v>
      </c>
      <c r="E68" s="1" t="s">
        <v>87</v>
      </c>
    </row>
    <row r="69" spans="1:6" ht="28.5" customHeight="1" x14ac:dyDescent="0.2">
      <c r="A69" s="7">
        <f t="shared" si="3"/>
        <v>76000</v>
      </c>
      <c r="B69" s="7">
        <v>65000</v>
      </c>
      <c r="C69" s="7"/>
      <c r="D69" s="7" t="s">
        <v>40</v>
      </c>
      <c r="E69" s="1" t="s">
        <v>88</v>
      </c>
    </row>
    <row r="70" spans="1:6" ht="27.75" customHeight="1" x14ac:dyDescent="0.2">
      <c r="A70" s="7">
        <f t="shared" si="3"/>
        <v>139000</v>
      </c>
      <c r="B70" s="7">
        <v>63000</v>
      </c>
      <c r="C70" s="7"/>
      <c r="D70" s="7" t="s">
        <v>90</v>
      </c>
      <c r="E70" s="1" t="s">
        <v>89</v>
      </c>
    </row>
    <row r="71" spans="1:6" ht="29.25" customHeight="1" x14ac:dyDescent="0.2">
      <c r="A71" s="7">
        <f t="shared" si="3"/>
        <v>286000</v>
      </c>
      <c r="B71" s="7">
        <v>147000</v>
      </c>
      <c r="C71" s="7"/>
      <c r="D71" s="7" t="s">
        <v>91</v>
      </c>
      <c r="E71" s="1" t="s">
        <v>89</v>
      </c>
      <c r="F71" s="8"/>
    </row>
    <row r="72" spans="1:6" ht="28.5" customHeight="1" x14ac:dyDescent="0.2">
      <c r="A72" s="7">
        <f t="shared" si="3"/>
        <v>326000</v>
      </c>
      <c r="B72" s="7">
        <v>40000</v>
      </c>
      <c r="C72" s="7"/>
      <c r="D72" s="7" t="s">
        <v>93</v>
      </c>
      <c r="E72" s="7" t="s">
        <v>92</v>
      </c>
      <c r="F72" s="8"/>
    </row>
    <row r="73" spans="1:6" ht="27.75" customHeight="1" x14ac:dyDescent="0.2">
      <c r="A73" s="7">
        <f t="shared" si="3"/>
        <v>394000</v>
      </c>
      <c r="B73" s="7">
        <v>68000</v>
      </c>
      <c r="C73" s="7"/>
      <c r="D73" s="10" t="s">
        <v>94</v>
      </c>
      <c r="E73" s="10" t="s">
        <v>92</v>
      </c>
      <c r="F73" s="8"/>
    </row>
    <row r="74" spans="1:6" ht="29.25" customHeight="1" x14ac:dyDescent="0.25">
      <c r="A74" s="7">
        <f t="shared" si="3"/>
        <v>459000</v>
      </c>
      <c r="B74" s="7">
        <v>65000</v>
      </c>
      <c r="C74" s="7"/>
      <c r="D74" s="9" t="s">
        <v>40</v>
      </c>
      <c r="E74" s="1" t="s">
        <v>95</v>
      </c>
      <c r="F74" s="8"/>
    </row>
    <row r="75" spans="1:6" ht="28.5" customHeight="1" x14ac:dyDescent="0.2">
      <c r="A75" s="7">
        <f t="shared" si="3"/>
        <v>659000</v>
      </c>
      <c r="B75" s="7">
        <v>200000</v>
      </c>
      <c r="C75" s="7"/>
      <c r="D75" s="7" t="s">
        <v>97</v>
      </c>
      <c r="E75" s="1" t="s">
        <v>96</v>
      </c>
      <c r="F75" s="8"/>
    </row>
    <row r="76" spans="1:6" ht="24.75" customHeight="1" x14ac:dyDescent="0.2">
      <c r="A76" s="7">
        <f t="shared" si="3"/>
        <v>786000</v>
      </c>
      <c r="B76" s="7">
        <v>127000</v>
      </c>
      <c r="C76" s="7"/>
      <c r="D76" s="7" t="s">
        <v>99</v>
      </c>
      <c r="E76" s="1" t="s">
        <v>98</v>
      </c>
      <c r="F76" s="8"/>
    </row>
    <row r="77" spans="1:6" ht="27.75" customHeight="1" x14ac:dyDescent="0.2">
      <c r="A77" s="7">
        <f t="shared" si="3"/>
        <v>856000</v>
      </c>
      <c r="B77" s="7">
        <v>70000</v>
      </c>
      <c r="C77" s="7"/>
      <c r="D77" s="7" t="s">
        <v>40</v>
      </c>
      <c r="E77" s="1" t="s">
        <v>98</v>
      </c>
      <c r="F77" s="8"/>
    </row>
    <row r="78" spans="1:6" ht="27.75" customHeight="1" x14ac:dyDescent="0.2">
      <c r="A78" s="7">
        <f t="shared" si="3"/>
        <v>973000</v>
      </c>
      <c r="B78" s="7">
        <v>117000</v>
      </c>
      <c r="C78" s="7"/>
      <c r="D78" s="7" t="s">
        <v>101</v>
      </c>
      <c r="E78" s="1" t="s">
        <v>100</v>
      </c>
      <c r="F78" s="8"/>
    </row>
    <row r="79" spans="1:6" ht="29.25" customHeight="1" x14ac:dyDescent="0.2">
      <c r="A79" s="7">
        <f t="shared" si="3"/>
        <v>1073000</v>
      </c>
      <c r="B79" s="7">
        <v>100000</v>
      </c>
      <c r="C79" s="7"/>
      <c r="D79" s="7" t="s">
        <v>103</v>
      </c>
      <c r="E79" s="1" t="s">
        <v>102</v>
      </c>
      <c r="F79" s="8"/>
    </row>
    <row r="80" spans="1:6" ht="28.5" customHeight="1" x14ac:dyDescent="0.2">
      <c r="A80" s="8"/>
      <c r="B80" s="8">
        <f xml:space="preserve"> SUM(B59:B79)+B53</f>
        <v>5125000</v>
      </c>
      <c r="C80" s="8">
        <f>SUM(C59:C79)+C53</f>
        <v>3915000</v>
      </c>
      <c r="D80" s="8"/>
    </row>
    <row r="81" spans="1:6" ht="28.5" customHeight="1" x14ac:dyDescent="0.3">
      <c r="A81" s="8"/>
      <c r="B81" s="11">
        <v>1210000</v>
      </c>
      <c r="C81" s="18" t="s">
        <v>71</v>
      </c>
      <c r="D81" s="18"/>
    </row>
    <row r="82" spans="1:6" ht="27.75" customHeight="1" x14ac:dyDescent="0.2"/>
    <row r="83" spans="1:6" ht="27.75" customHeight="1" x14ac:dyDescent="0.2">
      <c r="B83" t="s">
        <v>70</v>
      </c>
      <c r="D83" t="s">
        <v>69</v>
      </c>
    </row>
    <row r="84" spans="1:6" ht="29.25" customHeight="1" x14ac:dyDescent="0.3">
      <c r="A84" t="s">
        <v>10</v>
      </c>
      <c r="B84" s="2" t="s">
        <v>0</v>
      </c>
    </row>
    <row r="85" spans="1:6" ht="27.75" customHeight="1" x14ac:dyDescent="0.35">
      <c r="A85" s="3" t="s">
        <v>4</v>
      </c>
      <c r="B85" s="4" t="s">
        <v>3</v>
      </c>
      <c r="C85" s="3" t="s">
        <v>1</v>
      </c>
      <c r="D85" s="5" t="s">
        <v>2</v>
      </c>
      <c r="E85" s="5" t="s">
        <v>7</v>
      </c>
    </row>
    <row r="86" spans="1:6" ht="28.5" customHeight="1" x14ac:dyDescent="0.2">
      <c r="A86" s="7">
        <f xml:space="preserve"> B81+B86</f>
        <v>1230000</v>
      </c>
      <c r="B86" s="7">
        <v>20000</v>
      </c>
      <c r="C86" s="7"/>
      <c r="D86" s="7" t="s">
        <v>44</v>
      </c>
      <c r="E86" s="1" t="s">
        <v>102</v>
      </c>
      <c r="F86" s="8"/>
    </row>
    <row r="87" spans="1:6" ht="27.75" customHeight="1" x14ac:dyDescent="0.2">
      <c r="A87" s="7">
        <f xml:space="preserve"> A86 + B87-C87</f>
        <v>1517000</v>
      </c>
      <c r="B87" s="7">
        <v>287000</v>
      </c>
      <c r="C87" s="7"/>
      <c r="D87" s="7" t="s">
        <v>105</v>
      </c>
      <c r="E87" s="1" t="s">
        <v>104</v>
      </c>
    </row>
    <row r="88" spans="1:6" ht="27.75" customHeight="1" x14ac:dyDescent="0.2">
      <c r="A88" s="7">
        <f t="shared" ref="A88:A106" si="4" xml:space="preserve"> A87 + B88-C88</f>
        <v>2067000</v>
      </c>
      <c r="B88" s="7">
        <v>550000</v>
      </c>
      <c r="C88" s="7"/>
      <c r="D88" s="7" t="s">
        <v>107</v>
      </c>
      <c r="E88" s="1" t="s">
        <v>106</v>
      </c>
    </row>
    <row r="89" spans="1:6" ht="27.75" customHeight="1" x14ac:dyDescent="0.2">
      <c r="A89" s="7">
        <f t="shared" si="4"/>
        <v>1967000</v>
      </c>
      <c r="B89" s="7"/>
      <c r="C89" s="7">
        <v>100000</v>
      </c>
      <c r="D89" s="7" t="s">
        <v>109</v>
      </c>
      <c r="E89" s="1" t="s">
        <v>108</v>
      </c>
    </row>
    <row r="90" spans="1:6" ht="29.25" customHeight="1" x14ac:dyDescent="0.2">
      <c r="A90" s="7">
        <f t="shared" si="4"/>
        <v>2124000</v>
      </c>
      <c r="B90" s="7">
        <v>157000</v>
      </c>
      <c r="C90" s="7"/>
      <c r="D90" s="7" t="s">
        <v>111</v>
      </c>
      <c r="E90" s="1" t="s">
        <v>110</v>
      </c>
    </row>
    <row r="91" spans="1:6" ht="27.75" customHeight="1" x14ac:dyDescent="0.2">
      <c r="A91" s="7">
        <f t="shared" si="4"/>
        <v>1424000</v>
      </c>
      <c r="B91" s="7"/>
      <c r="C91" s="7">
        <v>700000</v>
      </c>
      <c r="D91" s="7" t="s">
        <v>112</v>
      </c>
      <c r="E91" s="1" t="s">
        <v>110</v>
      </c>
    </row>
    <row r="92" spans="1:6" ht="28.5" customHeight="1" x14ac:dyDescent="0.2">
      <c r="A92" s="7">
        <f t="shared" si="4"/>
        <v>1499000</v>
      </c>
      <c r="B92" s="7">
        <v>75000</v>
      </c>
      <c r="C92" s="7"/>
      <c r="D92" s="7" t="s">
        <v>40</v>
      </c>
      <c r="E92" s="1" t="s">
        <v>113</v>
      </c>
    </row>
    <row r="93" spans="1:6" ht="30" customHeight="1" x14ac:dyDescent="0.2">
      <c r="A93" s="7">
        <f t="shared" si="4"/>
        <v>1611000</v>
      </c>
      <c r="B93" s="7">
        <v>112000</v>
      </c>
      <c r="C93" s="7"/>
      <c r="D93" s="7" t="s">
        <v>114</v>
      </c>
      <c r="E93" s="1" t="s">
        <v>113</v>
      </c>
    </row>
    <row r="94" spans="1:6" ht="30" customHeight="1" x14ac:dyDescent="0.2">
      <c r="A94" s="7">
        <f t="shared" si="4"/>
        <v>1686000</v>
      </c>
      <c r="B94" s="7">
        <v>75000</v>
      </c>
      <c r="C94" s="7"/>
      <c r="D94" s="7" t="s">
        <v>40</v>
      </c>
      <c r="E94" s="1" t="s">
        <v>115</v>
      </c>
    </row>
    <row r="95" spans="1:6" ht="30" customHeight="1" x14ac:dyDescent="0.2">
      <c r="A95" s="7">
        <f t="shared" si="4"/>
        <v>2046000</v>
      </c>
      <c r="B95" s="7">
        <v>360000</v>
      </c>
      <c r="C95" s="7"/>
      <c r="D95" s="7" t="s">
        <v>117</v>
      </c>
      <c r="E95" s="1" t="s">
        <v>116</v>
      </c>
    </row>
    <row r="96" spans="1:6" ht="30" customHeight="1" x14ac:dyDescent="0.2">
      <c r="A96" s="7">
        <f t="shared" si="4"/>
        <v>2076000</v>
      </c>
      <c r="B96" s="7">
        <v>30000</v>
      </c>
      <c r="C96" s="7"/>
      <c r="D96" s="7" t="s">
        <v>118</v>
      </c>
      <c r="E96" s="1" t="s">
        <v>116</v>
      </c>
    </row>
    <row r="97" spans="1:6" ht="30" customHeight="1" x14ac:dyDescent="0.2">
      <c r="A97" s="7">
        <f t="shared" si="4"/>
        <v>2151000</v>
      </c>
      <c r="B97" s="7">
        <v>75000</v>
      </c>
      <c r="C97" s="7"/>
      <c r="D97" s="7" t="s">
        <v>40</v>
      </c>
      <c r="E97" s="1" t="s">
        <v>119</v>
      </c>
    </row>
    <row r="98" spans="1:6" ht="30" customHeight="1" x14ac:dyDescent="0.2">
      <c r="A98" s="7">
        <f t="shared" si="4"/>
        <v>651000</v>
      </c>
      <c r="B98" s="7"/>
      <c r="C98" s="7">
        <v>1500000</v>
      </c>
      <c r="D98" s="7" t="s">
        <v>12</v>
      </c>
      <c r="E98" s="1" t="s">
        <v>120</v>
      </c>
      <c r="F98" s="8"/>
    </row>
    <row r="99" spans="1:6" ht="30" customHeight="1" x14ac:dyDescent="0.2">
      <c r="A99" s="7">
        <f t="shared" si="4"/>
        <v>51000</v>
      </c>
      <c r="B99" s="7"/>
      <c r="C99" s="7">
        <v>600000</v>
      </c>
      <c r="D99" s="7" t="s">
        <v>122</v>
      </c>
      <c r="E99" s="7" t="s">
        <v>121</v>
      </c>
      <c r="F99" s="8"/>
    </row>
    <row r="100" spans="1:6" ht="30" customHeight="1" x14ac:dyDescent="0.2">
      <c r="A100" s="7">
        <f t="shared" si="4"/>
        <v>291000</v>
      </c>
      <c r="B100" s="7">
        <v>240000</v>
      </c>
      <c r="C100" s="7"/>
      <c r="D100" s="10" t="s">
        <v>123</v>
      </c>
      <c r="E100" s="10" t="s">
        <v>121</v>
      </c>
      <c r="F100" s="8"/>
    </row>
    <row r="101" spans="1:6" ht="30" customHeight="1" x14ac:dyDescent="0.25">
      <c r="A101" s="7">
        <f t="shared" si="4"/>
        <v>911000</v>
      </c>
      <c r="B101" s="7">
        <v>620000</v>
      </c>
      <c r="C101" s="7"/>
      <c r="D101" s="9" t="s">
        <v>125</v>
      </c>
      <c r="E101" s="1" t="s">
        <v>124</v>
      </c>
      <c r="F101" s="8"/>
    </row>
    <row r="102" spans="1:6" ht="30" customHeight="1" x14ac:dyDescent="0.2">
      <c r="A102" s="7">
        <f t="shared" si="4"/>
        <v>966000</v>
      </c>
      <c r="B102" s="7">
        <v>55000</v>
      </c>
      <c r="C102" s="7"/>
      <c r="D102" s="7" t="s">
        <v>126</v>
      </c>
      <c r="E102" s="1"/>
      <c r="F102" s="8"/>
    </row>
    <row r="103" spans="1:6" ht="30" customHeight="1" x14ac:dyDescent="0.2">
      <c r="A103" s="7">
        <f t="shared" si="4"/>
        <v>1150000</v>
      </c>
      <c r="B103" s="7">
        <v>184000</v>
      </c>
      <c r="C103" s="7"/>
      <c r="D103" s="7" t="s">
        <v>128</v>
      </c>
      <c r="E103" s="1" t="s">
        <v>127</v>
      </c>
      <c r="F103" s="8"/>
    </row>
    <row r="104" spans="1:6" ht="30" customHeight="1" x14ac:dyDescent="0.2">
      <c r="A104" s="7">
        <f t="shared" si="4"/>
        <v>1253000</v>
      </c>
      <c r="B104" s="7">
        <v>103000</v>
      </c>
      <c r="C104" s="7"/>
      <c r="D104" s="7" t="s">
        <v>130</v>
      </c>
      <c r="E104" s="1" t="s">
        <v>129</v>
      </c>
      <c r="F104" s="8"/>
    </row>
    <row r="105" spans="1:6" ht="30" customHeight="1" x14ac:dyDescent="0.2">
      <c r="A105" s="7">
        <f t="shared" si="4"/>
        <v>1383000</v>
      </c>
      <c r="B105" s="7">
        <v>130000</v>
      </c>
      <c r="C105" s="7"/>
      <c r="D105" s="7" t="s">
        <v>40</v>
      </c>
      <c r="E105" s="1" t="s">
        <v>131</v>
      </c>
      <c r="F105" s="8"/>
    </row>
    <row r="106" spans="1:6" ht="30" customHeight="1" x14ac:dyDescent="0.2">
      <c r="A106" s="7">
        <f t="shared" si="4"/>
        <v>1513000</v>
      </c>
      <c r="B106" s="7">
        <v>130000</v>
      </c>
      <c r="C106" s="7"/>
      <c r="D106" s="7" t="s">
        <v>133</v>
      </c>
      <c r="E106" s="1" t="s">
        <v>132</v>
      </c>
      <c r="F106" s="8"/>
    </row>
    <row r="107" spans="1:6" ht="30" customHeight="1" x14ac:dyDescent="0.2">
      <c r="A107" s="8"/>
      <c r="B107" s="8">
        <f xml:space="preserve"> SUM(B86:B106)+B80</f>
        <v>8328000</v>
      </c>
      <c r="C107" s="8">
        <f>SUM(C86:C106)+C80</f>
        <v>6815000</v>
      </c>
      <c r="D107" s="8"/>
    </row>
    <row r="108" spans="1:6" ht="30" customHeight="1" x14ac:dyDescent="0.3">
      <c r="A108" s="8"/>
      <c r="B108" s="11">
        <v>1513000</v>
      </c>
      <c r="C108" s="18" t="s">
        <v>71</v>
      </c>
      <c r="D108" s="18"/>
    </row>
    <row r="109" spans="1:6" ht="30" customHeight="1" x14ac:dyDescent="0.3">
      <c r="A109" t="s">
        <v>10</v>
      </c>
      <c r="B109" s="2" t="s">
        <v>0</v>
      </c>
    </row>
    <row r="110" spans="1:6" ht="30" customHeight="1" x14ac:dyDescent="0.35">
      <c r="A110" s="3" t="s">
        <v>4</v>
      </c>
      <c r="B110" s="4" t="s">
        <v>3</v>
      </c>
      <c r="C110" s="3" t="s">
        <v>1</v>
      </c>
      <c r="D110" s="5" t="s">
        <v>2</v>
      </c>
      <c r="E110" s="5" t="s">
        <v>7</v>
      </c>
    </row>
    <row r="111" spans="1:6" ht="30" customHeight="1" x14ac:dyDescent="0.2">
      <c r="A111" s="7">
        <f xml:space="preserve"> B108+B111-C111</f>
        <v>1623000</v>
      </c>
      <c r="B111" s="7">
        <v>110000</v>
      </c>
      <c r="C111" s="7"/>
      <c r="D111" s="7" t="s">
        <v>135</v>
      </c>
      <c r="E111" s="1" t="s">
        <v>134</v>
      </c>
      <c r="F111" s="8"/>
    </row>
    <row r="112" spans="1:6" ht="30" customHeight="1" x14ac:dyDescent="0.2">
      <c r="A112" s="7">
        <f xml:space="preserve"> A111 + B112-C112</f>
        <v>1728000</v>
      </c>
      <c r="B112" s="7">
        <v>105000</v>
      </c>
      <c r="C112" s="7"/>
      <c r="D112" s="7" t="s">
        <v>136</v>
      </c>
      <c r="E112" s="1" t="s">
        <v>134</v>
      </c>
    </row>
    <row r="113" spans="1:6" ht="30" customHeight="1" x14ac:dyDescent="0.2">
      <c r="A113" s="7">
        <f t="shared" ref="A113:A131" si="5" xml:space="preserve"> A112 + B113-C113</f>
        <v>1947000</v>
      </c>
      <c r="B113" s="7">
        <v>219000</v>
      </c>
      <c r="C113" s="7"/>
      <c r="D113" s="7" t="s">
        <v>138</v>
      </c>
      <c r="E113" s="1" t="s">
        <v>137</v>
      </c>
    </row>
    <row r="114" spans="1:6" ht="30" customHeight="1" x14ac:dyDescent="0.2">
      <c r="A114" s="7">
        <f t="shared" si="5"/>
        <v>2047000</v>
      </c>
      <c r="B114" s="7">
        <v>100000</v>
      </c>
      <c r="C114" s="7"/>
      <c r="D114" s="7" t="s">
        <v>140</v>
      </c>
      <c r="E114" s="1" t="s">
        <v>139</v>
      </c>
    </row>
    <row r="115" spans="1:6" ht="30" customHeight="1" x14ac:dyDescent="0.2">
      <c r="A115" s="7">
        <f t="shared" si="5"/>
        <v>1917000</v>
      </c>
      <c r="B115" s="7"/>
      <c r="C115" s="7">
        <v>130000</v>
      </c>
      <c r="D115" s="7" t="s">
        <v>12</v>
      </c>
      <c r="E115" s="1" t="s">
        <v>142</v>
      </c>
    </row>
    <row r="116" spans="1:6" ht="30" customHeight="1" x14ac:dyDescent="0.2">
      <c r="A116" s="7">
        <f t="shared" si="5"/>
        <v>2062000</v>
      </c>
      <c r="B116" s="7">
        <v>145000</v>
      </c>
      <c r="C116" s="7"/>
      <c r="D116" s="7"/>
      <c r="E116" s="1"/>
    </row>
    <row r="117" spans="1:6" ht="30" customHeight="1" x14ac:dyDescent="0.2">
      <c r="A117" s="7">
        <f t="shared" si="5"/>
        <v>2340000</v>
      </c>
      <c r="B117" s="7">
        <v>278000</v>
      </c>
      <c r="C117" s="7"/>
      <c r="D117" s="7" t="s">
        <v>141</v>
      </c>
      <c r="E117" s="1"/>
    </row>
    <row r="118" spans="1:6" ht="30" customHeight="1" x14ac:dyDescent="0.2">
      <c r="A118" s="7">
        <f t="shared" si="5"/>
        <v>2440000</v>
      </c>
      <c r="B118" s="7">
        <v>100000</v>
      </c>
      <c r="C118" s="7"/>
      <c r="D118" s="7" t="s">
        <v>144</v>
      </c>
      <c r="E118" s="1" t="s">
        <v>143</v>
      </c>
    </row>
    <row r="119" spans="1:6" ht="29.25" customHeight="1" x14ac:dyDescent="0.2">
      <c r="A119" s="7">
        <f t="shared" si="5"/>
        <v>2719000</v>
      </c>
      <c r="B119" s="7">
        <v>279000</v>
      </c>
      <c r="C119" s="7"/>
      <c r="D119" s="7" t="s">
        <v>146</v>
      </c>
      <c r="E119" s="13" t="s">
        <v>145</v>
      </c>
    </row>
    <row r="120" spans="1:6" ht="29.25" customHeight="1" x14ac:dyDescent="0.2">
      <c r="A120" s="7">
        <f t="shared" si="5"/>
        <v>3044000</v>
      </c>
      <c r="B120" s="7">
        <v>325000</v>
      </c>
      <c r="C120" s="7"/>
      <c r="D120" s="7" t="s">
        <v>148</v>
      </c>
      <c r="E120" s="1" t="s">
        <v>147</v>
      </c>
    </row>
    <row r="121" spans="1:6" ht="29.25" customHeight="1" x14ac:dyDescent="0.2">
      <c r="A121" s="7">
        <f t="shared" si="5"/>
        <v>2644000</v>
      </c>
      <c r="B121" s="7"/>
      <c r="C121" s="7">
        <v>400000</v>
      </c>
      <c r="D121" s="7" t="s">
        <v>12</v>
      </c>
      <c r="E121" s="1"/>
    </row>
    <row r="122" spans="1:6" ht="29.25" customHeight="1" x14ac:dyDescent="0.2">
      <c r="A122" s="7">
        <f t="shared" si="5"/>
        <v>2808000</v>
      </c>
      <c r="B122" s="7">
        <v>164000</v>
      </c>
      <c r="C122" s="7"/>
      <c r="D122" s="7" t="s">
        <v>150</v>
      </c>
      <c r="E122" s="1" t="s">
        <v>149</v>
      </c>
    </row>
    <row r="123" spans="1:6" ht="29.25" customHeight="1" x14ac:dyDescent="0.2">
      <c r="A123" s="7">
        <f t="shared" si="5"/>
        <v>1808000</v>
      </c>
      <c r="B123" s="7"/>
      <c r="C123" s="7">
        <v>1000000</v>
      </c>
      <c r="D123" s="7" t="s">
        <v>152</v>
      </c>
      <c r="E123" s="1" t="s">
        <v>151</v>
      </c>
      <c r="F123" s="8"/>
    </row>
    <row r="124" spans="1:6" ht="29.25" customHeight="1" x14ac:dyDescent="0.2">
      <c r="A124" s="7">
        <f t="shared" si="5"/>
        <v>2135000</v>
      </c>
      <c r="B124" s="7">
        <v>327000</v>
      </c>
      <c r="C124" s="7"/>
      <c r="D124" s="7" t="s">
        <v>154</v>
      </c>
      <c r="E124" s="7" t="s">
        <v>153</v>
      </c>
      <c r="F124" s="8"/>
    </row>
    <row r="125" spans="1:6" ht="29.25" customHeight="1" x14ac:dyDescent="0.2">
      <c r="A125" s="7">
        <f t="shared" si="5"/>
        <v>2210000</v>
      </c>
      <c r="B125" s="7">
        <v>75000</v>
      </c>
      <c r="C125" s="7"/>
      <c r="D125" s="10" t="s">
        <v>40</v>
      </c>
      <c r="E125" s="10" t="s">
        <v>155</v>
      </c>
      <c r="F125" s="8"/>
    </row>
    <row r="126" spans="1:6" ht="29.25" customHeight="1" x14ac:dyDescent="0.2">
      <c r="A126" s="7">
        <f t="shared" si="5"/>
        <v>2280000</v>
      </c>
      <c r="B126" s="7">
        <v>70000</v>
      </c>
      <c r="C126" s="7"/>
      <c r="D126" s="10" t="s">
        <v>40</v>
      </c>
      <c r="E126" s="1" t="s">
        <v>156</v>
      </c>
      <c r="F126" s="8"/>
    </row>
    <row r="127" spans="1:6" ht="29.25" customHeight="1" x14ac:dyDescent="0.2">
      <c r="A127" s="7">
        <f t="shared" si="5"/>
        <v>2330000</v>
      </c>
      <c r="B127" s="7">
        <v>50000</v>
      </c>
      <c r="C127" s="7"/>
      <c r="D127" s="7" t="s">
        <v>158</v>
      </c>
      <c r="E127" s="1" t="s">
        <v>157</v>
      </c>
      <c r="F127" s="8"/>
    </row>
    <row r="128" spans="1:6" ht="29.25" customHeight="1" x14ac:dyDescent="0.2">
      <c r="A128" s="7">
        <f t="shared" si="5"/>
        <v>2344000</v>
      </c>
      <c r="B128" s="7">
        <v>14000</v>
      </c>
      <c r="C128" s="7"/>
      <c r="D128" s="7" t="s">
        <v>160</v>
      </c>
      <c r="E128" s="1" t="s">
        <v>159</v>
      </c>
      <c r="F128" s="8"/>
    </row>
    <row r="129" spans="1:6" ht="29.25" customHeight="1" x14ac:dyDescent="0.2">
      <c r="A129" s="7">
        <f t="shared" si="5"/>
        <v>2444000</v>
      </c>
      <c r="B129" s="7">
        <v>100000</v>
      </c>
      <c r="C129" s="7"/>
      <c r="D129" s="7" t="s">
        <v>162</v>
      </c>
      <c r="E129" s="1" t="s">
        <v>161</v>
      </c>
      <c r="F129" s="8"/>
    </row>
    <row r="130" spans="1:6" ht="29.25" customHeight="1" x14ac:dyDescent="0.2">
      <c r="A130" s="7">
        <f t="shared" si="5"/>
        <v>-6000</v>
      </c>
      <c r="B130" s="7"/>
      <c r="C130" s="7">
        <v>2450000</v>
      </c>
      <c r="D130" s="7" t="s">
        <v>12</v>
      </c>
      <c r="E130" s="1" t="s">
        <v>163</v>
      </c>
      <c r="F130" s="8"/>
    </row>
    <row r="131" spans="1:6" ht="29.25" customHeight="1" x14ac:dyDescent="0.2">
      <c r="A131" s="7">
        <f t="shared" si="5"/>
        <v>259000</v>
      </c>
      <c r="B131" s="7">
        <v>265000</v>
      </c>
      <c r="C131" s="7"/>
      <c r="D131" s="7" t="s">
        <v>165</v>
      </c>
      <c r="E131" s="1" t="s">
        <v>164</v>
      </c>
      <c r="F131" s="8"/>
    </row>
    <row r="132" spans="1:6" ht="29.25" customHeight="1" x14ac:dyDescent="0.2">
      <c r="A132" s="8"/>
      <c r="B132" s="8">
        <f xml:space="preserve"> SUM(B111:B131)+B107</f>
        <v>11054000</v>
      </c>
      <c r="C132" s="8">
        <f>SUM(C111:C131)+C107</f>
        <v>10795000</v>
      </c>
      <c r="D132" s="8"/>
    </row>
    <row r="133" spans="1:6" ht="29.25" customHeight="1" x14ac:dyDescent="0.3">
      <c r="A133" s="8"/>
      <c r="B133" s="12">
        <f>A131</f>
        <v>259000</v>
      </c>
      <c r="C133" s="18" t="s">
        <v>71</v>
      </c>
      <c r="D133" s="18"/>
    </row>
    <row r="134" spans="1:6" ht="29.25" customHeight="1" x14ac:dyDescent="0.3">
      <c r="A134" t="s">
        <v>10</v>
      </c>
      <c r="B134" s="2" t="s">
        <v>0</v>
      </c>
    </row>
    <row r="135" spans="1:6" ht="29.25" customHeight="1" x14ac:dyDescent="0.35">
      <c r="A135" s="3" t="s">
        <v>4</v>
      </c>
      <c r="B135" s="4" t="s">
        <v>3</v>
      </c>
      <c r="C135" s="3" t="s">
        <v>1</v>
      </c>
      <c r="D135" s="5" t="s">
        <v>2</v>
      </c>
      <c r="E135" s="5" t="s">
        <v>7</v>
      </c>
    </row>
    <row r="136" spans="1:6" ht="29.25" customHeight="1" x14ac:dyDescent="0.2">
      <c r="A136" s="7">
        <f xml:space="preserve"> B133+B136-C136</f>
        <v>337000</v>
      </c>
      <c r="B136" s="7">
        <v>78000</v>
      </c>
      <c r="C136" s="7"/>
      <c r="D136" s="7" t="s">
        <v>166</v>
      </c>
      <c r="E136" s="1" t="s">
        <v>164</v>
      </c>
    </row>
    <row r="137" spans="1:6" ht="29.25" customHeight="1" x14ac:dyDescent="0.2">
      <c r="A137" s="7">
        <f xml:space="preserve"> A136 + B137-C137</f>
        <v>387000</v>
      </c>
      <c r="B137" s="7">
        <v>50000</v>
      </c>
      <c r="C137" s="7"/>
      <c r="D137" s="7" t="s">
        <v>168</v>
      </c>
      <c r="E137" s="1" t="s">
        <v>167</v>
      </c>
    </row>
    <row r="138" spans="1:6" ht="29.25" customHeight="1" x14ac:dyDescent="0.2">
      <c r="A138" s="7">
        <f t="shared" ref="A138:A156" si="6" xml:space="preserve"> A137 + B138-C138</f>
        <v>443000</v>
      </c>
      <c r="B138" s="7">
        <v>56000</v>
      </c>
      <c r="C138" s="7"/>
      <c r="D138" s="7" t="s">
        <v>170</v>
      </c>
      <c r="E138" s="1" t="s">
        <v>169</v>
      </c>
    </row>
    <row r="139" spans="1:6" ht="29.25" customHeight="1" x14ac:dyDescent="0.2">
      <c r="A139" s="7">
        <f t="shared" si="6"/>
        <v>557000</v>
      </c>
      <c r="B139" s="7">
        <v>114000</v>
      </c>
      <c r="C139" s="7"/>
      <c r="D139" s="7" t="s">
        <v>171</v>
      </c>
      <c r="E139" s="1" t="s">
        <v>169</v>
      </c>
    </row>
    <row r="140" spans="1:6" ht="29.25" customHeight="1" x14ac:dyDescent="0.2">
      <c r="A140" s="7">
        <f t="shared" si="6"/>
        <v>797000</v>
      </c>
      <c r="B140" s="7">
        <v>240000</v>
      </c>
      <c r="C140" s="7"/>
      <c r="D140" s="7" t="s">
        <v>173</v>
      </c>
      <c r="E140" s="1" t="s">
        <v>172</v>
      </c>
    </row>
    <row r="141" spans="1:6" ht="29.25" customHeight="1" x14ac:dyDescent="0.2">
      <c r="A141" s="7">
        <f t="shared" si="6"/>
        <v>986000</v>
      </c>
      <c r="B141" s="7">
        <v>189000</v>
      </c>
      <c r="C141" s="7"/>
      <c r="D141" s="7"/>
      <c r="E141" s="1" t="s">
        <v>175</v>
      </c>
    </row>
    <row r="142" spans="1:6" ht="29.25" customHeight="1" x14ac:dyDescent="0.2">
      <c r="A142" s="7">
        <f t="shared" si="6"/>
        <v>1061000</v>
      </c>
      <c r="B142" s="7">
        <v>75000</v>
      </c>
      <c r="C142" s="7"/>
      <c r="D142" s="7" t="s">
        <v>176</v>
      </c>
      <c r="E142" s="1" t="s">
        <v>174</v>
      </c>
    </row>
    <row r="143" spans="1:6" ht="29.25" customHeight="1" x14ac:dyDescent="0.2">
      <c r="A143" s="7">
        <f t="shared" si="6"/>
        <v>981000</v>
      </c>
      <c r="B143" s="7"/>
      <c r="C143" s="7">
        <v>80000</v>
      </c>
      <c r="D143" s="7" t="s">
        <v>12</v>
      </c>
      <c r="E143" s="1" t="s">
        <v>174</v>
      </c>
    </row>
    <row r="144" spans="1:6" ht="29.25" customHeight="1" x14ac:dyDescent="0.2">
      <c r="A144" s="7">
        <f t="shared" si="6"/>
        <v>1071000</v>
      </c>
      <c r="B144" s="7">
        <v>90000</v>
      </c>
      <c r="C144" s="7"/>
      <c r="D144" s="7" t="s">
        <v>178</v>
      </c>
      <c r="E144" s="13" t="s">
        <v>177</v>
      </c>
    </row>
    <row r="145" spans="1:5" ht="29.25" customHeight="1" x14ac:dyDescent="0.2">
      <c r="A145" s="7">
        <f t="shared" si="6"/>
        <v>1191000</v>
      </c>
      <c r="B145" s="7">
        <v>120000</v>
      </c>
      <c r="C145" s="7"/>
      <c r="D145" s="7" t="s">
        <v>180</v>
      </c>
      <c r="E145" s="1" t="s">
        <v>179</v>
      </c>
    </row>
    <row r="146" spans="1:5" ht="29.25" customHeight="1" x14ac:dyDescent="0.2">
      <c r="A146" s="7">
        <f t="shared" si="6"/>
        <v>1331000</v>
      </c>
      <c r="B146" s="7">
        <v>140000</v>
      </c>
      <c r="C146" s="7"/>
      <c r="D146" s="7" t="s">
        <v>182</v>
      </c>
      <c r="E146" s="1" t="s">
        <v>181</v>
      </c>
    </row>
    <row r="147" spans="1:5" ht="29.25" customHeight="1" x14ac:dyDescent="0.2">
      <c r="A147" s="7">
        <f t="shared" si="6"/>
        <v>1467000</v>
      </c>
      <c r="B147" s="7">
        <v>136000</v>
      </c>
      <c r="C147" s="7"/>
      <c r="D147" s="7" t="s">
        <v>184</v>
      </c>
      <c r="E147" s="1" t="s">
        <v>183</v>
      </c>
    </row>
    <row r="148" spans="1:5" ht="29.25" customHeight="1" x14ac:dyDescent="0.2">
      <c r="A148" s="7">
        <f t="shared" si="6"/>
        <v>467000</v>
      </c>
      <c r="B148" s="7"/>
      <c r="C148" s="7">
        <v>1000000</v>
      </c>
      <c r="D148" s="7" t="s">
        <v>12</v>
      </c>
      <c r="E148" s="1" t="s">
        <v>185</v>
      </c>
    </row>
    <row r="149" spans="1:5" ht="29.25" customHeight="1" x14ac:dyDescent="0.2">
      <c r="A149" s="7">
        <f t="shared" si="6"/>
        <v>512000</v>
      </c>
      <c r="B149" s="7">
        <v>45000</v>
      </c>
      <c r="C149" s="7"/>
      <c r="D149" s="7" t="s">
        <v>44</v>
      </c>
      <c r="E149" s="7" t="s">
        <v>185</v>
      </c>
    </row>
    <row r="150" spans="1:5" ht="28.5" customHeight="1" x14ac:dyDescent="0.2">
      <c r="A150" s="7">
        <f t="shared" si="6"/>
        <v>682000</v>
      </c>
      <c r="B150" s="7">
        <v>170000</v>
      </c>
      <c r="C150" s="7"/>
      <c r="D150" s="10" t="s">
        <v>187</v>
      </c>
      <c r="E150" s="10" t="s">
        <v>186</v>
      </c>
    </row>
    <row r="151" spans="1:5" ht="28.5" customHeight="1" x14ac:dyDescent="0.2">
      <c r="A151" s="7">
        <f t="shared" si="6"/>
        <v>782000</v>
      </c>
      <c r="B151" s="7">
        <v>100000</v>
      </c>
      <c r="C151" s="7"/>
      <c r="D151" s="10" t="s">
        <v>189</v>
      </c>
      <c r="E151" s="1" t="s">
        <v>188</v>
      </c>
    </row>
    <row r="152" spans="1:5" ht="28.5" customHeight="1" x14ac:dyDescent="0.2">
      <c r="A152" s="7">
        <f t="shared" si="6"/>
        <v>902000</v>
      </c>
      <c r="B152" s="7">
        <v>120000</v>
      </c>
      <c r="C152" s="7"/>
      <c r="D152" s="7" t="s">
        <v>191</v>
      </c>
      <c r="E152" s="1" t="s">
        <v>190</v>
      </c>
    </row>
    <row r="153" spans="1:5" ht="28.5" customHeight="1" x14ac:dyDescent="0.2">
      <c r="A153" s="7">
        <f t="shared" si="6"/>
        <v>1202000</v>
      </c>
      <c r="B153" s="7">
        <v>300000</v>
      </c>
      <c r="C153" s="7"/>
      <c r="D153" s="7" t="s">
        <v>193</v>
      </c>
      <c r="E153" s="1" t="s">
        <v>192</v>
      </c>
    </row>
    <row r="154" spans="1:5" ht="28.5" customHeight="1" x14ac:dyDescent="0.2">
      <c r="A154" s="7">
        <f t="shared" si="6"/>
        <v>1334000</v>
      </c>
      <c r="B154" s="7">
        <v>132000</v>
      </c>
      <c r="C154" s="7"/>
      <c r="D154" s="7" t="s">
        <v>130</v>
      </c>
      <c r="E154" s="1" t="s">
        <v>192</v>
      </c>
    </row>
    <row r="155" spans="1:5" ht="28.5" customHeight="1" x14ac:dyDescent="0.2">
      <c r="A155" s="7">
        <f t="shared" si="6"/>
        <v>1384000</v>
      </c>
      <c r="B155" s="7">
        <v>50000</v>
      </c>
      <c r="C155" s="7"/>
      <c r="D155" s="7" t="s">
        <v>170</v>
      </c>
      <c r="E155" s="1"/>
    </row>
    <row r="156" spans="1:5" ht="28.5" customHeight="1" x14ac:dyDescent="0.2">
      <c r="A156" s="7">
        <f t="shared" si="6"/>
        <v>1494000</v>
      </c>
      <c r="B156" s="7">
        <v>110000</v>
      </c>
      <c r="C156" s="7"/>
      <c r="D156" s="7" t="s">
        <v>195</v>
      </c>
      <c r="E156" s="1" t="s">
        <v>194</v>
      </c>
    </row>
    <row r="157" spans="1:5" ht="28.5" customHeight="1" x14ac:dyDescent="0.2">
      <c r="A157" s="8"/>
      <c r="B157" s="8">
        <f xml:space="preserve"> SUM(B136:B156)+B132</f>
        <v>13369000</v>
      </c>
      <c r="C157" s="8">
        <f>SUM(C136:C156)+C132</f>
        <v>11875000</v>
      </c>
      <c r="D157" s="8"/>
    </row>
    <row r="158" spans="1:5" ht="28.5" customHeight="1" x14ac:dyDescent="0.3">
      <c r="A158" s="8"/>
      <c r="B158" s="12">
        <f>A156</f>
        <v>1494000</v>
      </c>
      <c r="C158" s="18" t="s">
        <v>71</v>
      </c>
      <c r="D158" s="18"/>
    </row>
    <row r="159" spans="1:5" ht="28.5" customHeight="1" x14ac:dyDescent="0.2"/>
    <row r="160" spans="1:5" ht="28.5" customHeight="1" x14ac:dyDescent="0.3">
      <c r="A160" t="s">
        <v>10</v>
      </c>
      <c r="B160" s="2" t="s">
        <v>0</v>
      </c>
    </row>
    <row r="161" spans="1:5" ht="28.5" customHeight="1" x14ac:dyDescent="0.35">
      <c r="A161" s="3" t="s">
        <v>4</v>
      </c>
      <c r="B161" s="4" t="s">
        <v>3</v>
      </c>
      <c r="C161" s="3" t="s">
        <v>1</v>
      </c>
      <c r="D161" s="5" t="s">
        <v>2</v>
      </c>
      <c r="E161" s="5" t="s">
        <v>7</v>
      </c>
    </row>
    <row r="162" spans="1:5" ht="28.5" customHeight="1" x14ac:dyDescent="0.2">
      <c r="A162" s="7">
        <f xml:space="preserve"> B158+B162-C162</f>
        <v>1644000</v>
      </c>
      <c r="B162" s="7">
        <v>150000</v>
      </c>
      <c r="C162" s="7"/>
      <c r="D162" s="7" t="s">
        <v>40</v>
      </c>
      <c r="E162" s="1" t="s">
        <v>196</v>
      </c>
    </row>
    <row r="163" spans="1:5" ht="28.5" customHeight="1" x14ac:dyDescent="0.2">
      <c r="A163" s="7">
        <f xml:space="preserve"> A162 + B163-C163</f>
        <v>1664000</v>
      </c>
      <c r="B163" s="7">
        <v>20000</v>
      </c>
      <c r="C163" s="7"/>
      <c r="D163" s="7" t="s">
        <v>197</v>
      </c>
      <c r="E163" s="1"/>
    </row>
    <row r="164" spans="1:5" ht="28.5" customHeight="1" x14ac:dyDescent="0.2">
      <c r="A164" s="7">
        <f t="shared" ref="A164:A182" si="7" xml:space="preserve"> A163 + B164-C164</f>
        <v>1814000</v>
      </c>
      <c r="B164" s="7">
        <v>150000</v>
      </c>
      <c r="C164" s="7"/>
      <c r="D164" s="7" t="s">
        <v>40</v>
      </c>
      <c r="E164" s="1" t="s">
        <v>198</v>
      </c>
    </row>
    <row r="165" spans="1:5" ht="28.5" customHeight="1" x14ac:dyDescent="0.2">
      <c r="A165" s="7">
        <f t="shared" si="7"/>
        <v>1889000</v>
      </c>
      <c r="B165" s="7">
        <v>75000</v>
      </c>
      <c r="C165" s="7"/>
      <c r="D165" s="7" t="s">
        <v>180</v>
      </c>
      <c r="E165" s="1" t="s">
        <v>199</v>
      </c>
    </row>
    <row r="166" spans="1:5" ht="28.5" customHeight="1" x14ac:dyDescent="0.2">
      <c r="A166" s="7">
        <f t="shared" si="7"/>
        <v>2089000</v>
      </c>
      <c r="B166" s="7">
        <v>200000</v>
      </c>
      <c r="C166" s="7"/>
      <c r="D166" s="7" t="s">
        <v>180</v>
      </c>
      <c r="E166" s="1" t="s">
        <v>200</v>
      </c>
    </row>
    <row r="167" spans="1:5" ht="28.5" customHeight="1" x14ac:dyDescent="0.2">
      <c r="A167" s="7">
        <f t="shared" si="7"/>
        <v>2199000</v>
      </c>
      <c r="B167" s="7">
        <v>110000</v>
      </c>
      <c r="C167" s="7"/>
      <c r="D167" s="7" t="s">
        <v>180</v>
      </c>
      <c r="E167" s="1" t="s">
        <v>201</v>
      </c>
    </row>
    <row r="168" spans="1:5" ht="28.5" customHeight="1" x14ac:dyDescent="0.2">
      <c r="A168" s="7">
        <f t="shared" si="7"/>
        <v>2389000</v>
      </c>
      <c r="B168" s="7">
        <v>190000</v>
      </c>
      <c r="C168" s="7"/>
      <c r="D168" s="7" t="s">
        <v>130</v>
      </c>
      <c r="E168" s="1" t="s">
        <v>202</v>
      </c>
    </row>
    <row r="169" spans="1:5" ht="28.5" customHeight="1" x14ac:dyDescent="0.2">
      <c r="A169" s="7">
        <f t="shared" si="7"/>
        <v>389000</v>
      </c>
      <c r="B169" s="7"/>
      <c r="C169" s="7">
        <v>2000000</v>
      </c>
      <c r="D169" s="7" t="s">
        <v>12</v>
      </c>
      <c r="E169" s="1" t="s">
        <v>203</v>
      </c>
    </row>
    <row r="170" spans="1:5" ht="28.5" customHeight="1" x14ac:dyDescent="0.2">
      <c r="A170" s="7">
        <f t="shared" si="7"/>
        <v>469000</v>
      </c>
      <c r="B170" s="7">
        <v>80000</v>
      </c>
      <c r="C170" s="7"/>
      <c r="D170" s="7" t="s">
        <v>180</v>
      </c>
      <c r="E170" s="13" t="s">
        <v>204</v>
      </c>
    </row>
    <row r="171" spans="1:5" ht="28.5" customHeight="1" x14ac:dyDescent="0.2">
      <c r="A171" s="7">
        <f t="shared" si="7"/>
        <v>0</v>
      </c>
      <c r="B171" s="7"/>
      <c r="C171" s="7">
        <v>469000</v>
      </c>
      <c r="D171" s="7" t="s">
        <v>12</v>
      </c>
      <c r="E171" s="1"/>
    </row>
    <row r="172" spans="1:5" ht="28.5" customHeight="1" x14ac:dyDescent="0.2">
      <c r="A172" s="7">
        <f t="shared" si="7"/>
        <v>220000</v>
      </c>
      <c r="B172" s="7">
        <v>220000</v>
      </c>
      <c r="C172" s="7"/>
      <c r="D172" s="7" t="s">
        <v>206</v>
      </c>
      <c r="E172" s="1" t="s">
        <v>205</v>
      </c>
    </row>
    <row r="173" spans="1:5" ht="28.5" customHeight="1" x14ac:dyDescent="0.2">
      <c r="A173" s="7">
        <f t="shared" si="7"/>
        <v>494000</v>
      </c>
      <c r="B173" s="7">
        <v>274000</v>
      </c>
      <c r="C173" s="7"/>
      <c r="D173" s="7" t="s">
        <v>207</v>
      </c>
      <c r="E173" s="1"/>
    </row>
    <row r="174" spans="1:5" ht="28.5" customHeight="1" x14ac:dyDescent="0.2">
      <c r="A174" s="7">
        <f t="shared" si="7"/>
        <v>619000</v>
      </c>
      <c r="B174" s="7">
        <v>125000</v>
      </c>
      <c r="C174" s="7"/>
      <c r="D174" s="7" t="s">
        <v>208</v>
      </c>
      <c r="E174" s="1" t="s">
        <v>205</v>
      </c>
    </row>
    <row r="175" spans="1:5" ht="28.5" customHeight="1" x14ac:dyDescent="0.2">
      <c r="A175" s="7">
        <f t="shared" si="7"/>
        <v>899000</v>
      </c>
      <c r="B175" s="7">
        <v>280000</v>
      </c>
      <c r="C175" s="7"/>
      <c r="D175" s="7" t="s">
        <v>63</v>
      </c>
      <c r="E175" s="7" t="s">
        <v>209</v>
      </c>
    </row>
    <row r="176" spans="1:5" ht="28.5" customHeight="1" x14ac:dyDescent="0.2">
      <c r="A176" s="7">
        <f t="shared" si="7"/>
        <v>1062000</v>
      </c>
      <c r="B176" s="7">
        <v>163000</v>
      </c>
      <c r="C176" s="7"/>
      <c r="D176" s="10" t="s">
        <v>210</v>
      </c>
      <c r="E176" s="10"/>
    </row>
    <row r="177" spans="1:5" ht="28.5" customHeight="1" x14ac:dyDescent="0.2">
      <c r="A177" s="7">
        <f t="shared" si="7"/>
        <v>1347000</v>
      </c>
      <c r="B177" s="7">
        <v>285000</v>
      </c>
      <c r="C177" s="7"/>
      <c r="D177" s="10" t="s">
        <v>212</v>
      </c>
      <c r="E177" s="1" t="s">
        <v>211</v>
      </c>
    </row>
    <row r="178" spans="1:5" ht="28.5" customHeight="1" x14ac:dyDescent="0.2">
      <c r="A178" s="7">
        <f t="shared" si="7"/>
        <v>1569000</v>
      </c>
      <c r="B178" s="7">
        <v>222000</v>
      </c>
      <c r="C178" s="7"/>
      <c r="D178" s="7" t="s">
        <v>214</v>
      </c>
      <c r="E178" s="1" t="s">
        <v>213</v>
      </c>
    </row>
    <row r="179" spans="1:5" ht="28.5" customHeight="1" x14ac:dyDescent="0.2">
      <c r="A179" s="7">
        <f t="shared" si="7"/>
        <v>1789000</v>
      </c>
      <c r="B179" s="7">
        <v>220000</v>
      </c>
      <c r="C179" s="7"/>
      <c r="D179" s="7" t="s">
        <v>215</v>
      </c>
      <c r="E179" s="1"/>
    </row>
    <row r="180" spans="1:5" ht="28.5" customHeight="1" x14ac:dyDescent="0.2">
      <c r="A180" s="7">
        <f t="shared" si="7"/>
        <v>2054000</v>
      </c>
      <c r="B180" s="7">
        <v>265000</v>
      </c>
      <c r="C180" s="7"/>
      <c r="D180" s="7" t="s">
        <v>215</v>
      </c>
      <c r="E180" s="1" t="s">
        <v>216</v>
      </c>
    </row>
    <row r="181" spans="1:5" ht="28.5" customHeight="1" x14ac:dyDescent="0.2">
      <c r="A181" s="7">
        <f t="shared" si="7"/>
        <v>2216000</v>
      </c>
      <c r="B181" s="7">
        <v>162000</v>
      </c>
      <c r="C181" s="7"/>
      <c r="D181" s="7" t="s">
        <v>217</v>
      </c>
      <c r="E181" s="1"/>
    </row>
    <row r="182" spans="1:5" ht="28.5" customHeight="1" x14ac:dyDescent="0.2">
      <c r="A182" s="7">
        <f t="shared" si="7"/>
        <v>2465000</v>
      </c>
      <c r="B182" s="7">
        <v>249000</v>
      </c>
      <c r="C182" s="7"/>
      <c r="D182" s="7" t="s">
        <v>219</v>
      </c>
      <c r="E182" s="1" t="s">
        <v>218</v>
      </c>
    </row>
    <row r="183" spans="1:5" ht="28.5" customHeight="1" x14ac:dyDescent="0.2">
      <c r="A183" s="8"/>
      <c r="B183" s="8">
        <f xml:space="preserve"> SUM(B162:B182)+B157</f>
        <v>16809000</v>
      </c>
      <c r="C183" s="8">
        <f>SUM(C162:C182)+C157</f>
        <v>14344000</v>
      </c>
      <c r="D183" s="8"/>
    </row>
    <row r="184" spans="1:5" ht="28.5" customHeight="1" x14ac:dyDescent="0.3">
      <c r="A184" s="8"/>
      <c r="B184" s="12">
        <f>A182</f>
        <v>2465000</v>
      </c>
      <c r="C184" s="18" t="s">
        <v>71</v>
      </c>
      <c r="D184" s="18"/>
    </row>
    <row r="185" spans="1:5" ht="28.5" customHeight="1" x14ac:dyDescent="0.2"/>
    <row r="186" spans="1:5" ht="28.5" customHeight="1" x14ac:dyDescent="0.3">
      <c r="A186" t="s">
        <v>10</v>
      </c>
      <c r="B186" s="2" t="s">
        <v>0</v>
      </c>
    </row>
    <row r="187" spans="1:5" ht="28.5" customHeight="1" x14ac:dyDescent="0.35">
      <c r="A187" s="3" t="s">
        <v>4</v>
      </c>
      <c r="B187" s="4" t="s">
        <v>3</v>
      </c>
      <c r="C187" s="3" t="s">
        <v>1</v>
      </c>
      <c r="D187" s="5" t="s">
        <v>2</v>
      </c>
      <c r="E187" s="5" t="s">
        <v>7</v>
      </c>
    </row>
    <row r="188" spans="1:5" ht="28.5" customHeight="1" x14ac:dyDescent="0.2">
      <c r="A188" s="7">
        <f xml:space="preserve"> B184+B188-C188</f>
        <v>2635000</v>
      </c>
      <c r="B188" s="7">
        <v>170000</v>
      </c>
      <c r="C188" s="7"/>
      <c r="D188" s="7" t="s">
        <v>221</v>
      </c>
      <c r="E188" s="1" t="s">
        <v>220</v>
      </c>
    </row>
    <row r="189" spans="1:5" ht="28.5" customHeight="1" x14ac:dyDescent="0.2">
      <c r="A189" s="7">
        <f xml:space="preserve"> A188 + B189-C189</f>
        <v>2925000</v>
      </c>
      <c r="B189" s="7">
        <v>290000</v>
      </c>
      <c r="C189" s="7"/>
      <c r="D189" s="7" t="s">
        <v>65</v>
      </c>
      <c r="E189" s="1" t="s">
        <v>222</v>
      </c>
    </row>
    <row r="190" spans="1:5" ht="28.5" customHeight="1" x14ac:dyDescent="0.2">
      <c r="A190" s="7">
        <f t="shared" ref="A190:A208" si="8" xml:space="preserve"> A189 + B190-C190</f>
        <v>925000</v>
      </c>
      <c r="B190" s="7"/>
      <c r="C190" s="7">
        <v>2000000</v>
      </c>
      <c r="D190" s="7" t="s">
        <v>12</v>
      </c>
      <c r="E190" s="1" t="s">
        <v>223</v>
      </c>
    </row>
    <row r="191" spans="1:5" ht="28.5" customHeight="1" x14ac:dyDescent="0.2">
      <c r="A191" s="7">
        <f t="shared" si="8"/>
        <v>989000</v>
      </c>
      <c r="B191" s="7">
        <v>64000</v>
      </c>
      <c r="C191" s="7"/>
      <c r="D191" s="7" t="s">
        <v>224</v>
      </c>
      <c r="E191" s="1"/>
    </row>
    <row r="192" spans="1:5" ht="28.5" customHeight="1" x14ac:dyDescent="0.2">
      <c r="A192" s="7">
        <f t="shared" si="8"/>
        <v>1089000</v>
      </c>
      <c r="B192" s="7">
        <v>100000</v>
      </c>
      <c r="C192" s="7"/>
      <c r="D192" s="7" t="s">
        <v>226</v>
      </c>
      <c r="E192" s="1" t="s">
        <v>225</v>
      </c>
    </row>
    <row r="193" spans="1:5" ht="28.5" customHeight="1" x14ac:dyDescent="0.2">
      <c r="A193" s="7">
        <f t="shared" si="8"/>
        <v>1399000</v>
      </c>
      <c r="B193" s="7">
        <v>310000</v>
      </c>
      <c r="C193" s="7"/>
      <c r="D193" s="7" t="s">
        <v>228</v>
      </c>
      <c r="E193" s="1" t="s">
        <v>227</v>
      </c>
    </row>
    <row r="194" spans="1:5" ht="28.5" customHeight="1" x14ac:dyDescent="0.2">
      <c r="A194" s="7">
        <f t="shared" si="8"/>
        <v>1644000</v>
      </c>
      <c r="B194" s="7">
        <v>245000</v>
      </c>
      <c r="C194" s="7"/>
      <c r="D194" s="7" t="s">
        <v>230</v>
      </c>
      <c r="E194" s="1" t="s">
        <v>229</v>
      </c>
    </row>
    <row r="195" spans="1:5" ht="28.5" customHeight="1" x14ac:dyDescent="0.2">
      <c r="A195" s="7">
        <f t="shared" si="8"/>
        <v>2064000</v>
      </c>
      <c r="B195" s="7">
        <v>420000</v>
      </c>
      <c r="C195" s="7"/>
      <c r="D195" s="7" t="s">
        <v>232</v>
      </c>
      <c r="E195" s="1" t="s">
        <v>231</v>
      </c>
    </row>
    <row r="196" spans="1:5" ht="28.5" customHeight="1" x14ac:dyDescent="0.2">
      <c r="A196" s="7">
        <f t="shared" si="8"/>
        <v>2544000</v>
      </c>
      <c r="B196" s="7">
        <v>480000</v>
      </c>
      <c r="C196" s="7"/>
      <c r="D196" s="7" t="s">
        <v>234</v>
      </c>
      <c r="E196" s="13" t="s">
        <v>233</v>
      </c>
    </row>
    <row r="197" spans="1:5" ht="28.5" customHeight="1" x14ac:dyDescent="0.2">
      <c r="A197" s="7">
        <f t="shared" si="8"/>
        <v>2214000</v>
      </c>
      <c r="B197" s="7"/>
      <c r="C197" s="7">
        <v>330000</v>
      </c>
      <c r="D197" s="7" t="s">
        <v>236</v>
      </c>
      <c r="E197" s="1" t="s">
        <v>235</v>
      </c>
    </row>
    <row r="198" spans="1:5" ht="28.5" customHeight="1" x14ac:dyDescent="0.2">
      <c r="A198" s="7">
        <f t="shared" si="8"/>
        <v>2364000</v>
      </c>
      <c r="B198" s="7">
        <v>150000</v>
      </c>
      <c r="C198" s="7"/>
      <c r="D198" s="7" t="s">
        <v>40</v>
      </c>
      <c r="E198" s="1" t="s">
        <v>237</v>
      </c>
    </row>
    <row r="199" spans="1:5" ht="28.5" customHeight="1" x14ac:dyDescent="0.2">
      <c r="A199" s="7">
        <f t="shared" si="8"/>
        <v>2514000</v>
      </c>
      <c r="B199" s="7">
        <v>150000</v>
      </c>
      <c r="C199" s="7"/>
      <c r="D199" s="7" t="s">
        <v>40</v>
      </c>
      <c r="E199" s="1" t="s">
        <v>238</v>
      </c>
    </row>
    <row r="200" spans="1:5" ht="28.5" customHeight="1" x14ac:dyDescent="0.2">
      <c r="A200" s="7">
        <f t="shared" si="8"/>
        <v>2684000</v>
      </c>
      <c r="B200" s="7">
        <v>170000</v>
      </c>
      <c r="C200" s="7"/>
      <c r="D200" s="7" t="s">
        <v>239</v>
      </c>
      <c r="E200" s="1"/>
    </row>
    <row r="201" spans="1:5" ht="28.5" customHeight="1" x14ac:dyDescent="0.2">
      <c r="A201" s="7">
        <f t="shared" si="8"/>
        <v>3044000</v>
      </c>
      <c r="B201" s="7">
        <v>360000</v>
      </c>
      <c r="C201" s="7"/>
      <c r="D201" s="7" t="s">
        <v>184</v>
      </c>
      <c r="E201" s="7" t="s">
        <v>240</v>
      </c>
    </row>
    <row r="202" spans="1:5" ht="28.5" customHeight="1" x14ac:dyDescent="0.2">
      <c r="A202" s="7">
        <f t="shared" si="8"/>
        <v>3120000</v>
      </c>
      <c r="B202" s="7">
        <v>76000</v>
      </c>
      <c r="C202" s="7"/>
      <c r="D202" s="10" t="s">
        <v>242</v>
      </c>
      <c r="E202" s="10" t="s">
        <v>241</v>
      </c>
    </row>
    <row r="203" spans="1:5" ht="28.5" customHeight="1" x14ac:dyDescent="0.2">
      <c r="A203" s="7">
        <f t="shared" si="8"/>
        <v>3340000</v>
      </c>
      <c r="B203" s="7">
        <v>220000</v>
      </c>
      <c r="C203" s="7"/>
      <c r="D203" s="10" t="s">
        <v>44</v>
      </c>
      <c r="E203" s="1" t="s">
        <v>243</v>
      </c>
    </row>
    <row r="204" spans="1:5" ht="28.5" customHeight="1" x14ac:dyDescent="0.2">
      <c r="A204" s="7">
        <f t="shared" si="8"/>
        <v>4475000</v>
      </c>
      <c r="B204" s="7">
        <v>1135000</v>
      </c>
      <c r="C204" s="7"/>
      <c r="D204" s="7" t="s">
        <v>217</v>
      </c>
      <c r="E204" s="1" t="s">
        <v>245</v>
      </c>
    </row>
    <row r="205" spans="1:5" ht="28.5" customHeight="1" x14ac:dyDescent="0.2">
      <c r="A205" s="7">
        <f t="shared" si="8"/>
        <v>3475000</v>
      </c>
      <c r="B205" s="7"/>
      <c r="C205" s="7">
        <v>1000000</v>
      </c>
      <c r="D205" s="7" t="s">
        <v>12</v>
      </c>
      <c r="E205" s="1" t="s">
        <v>246</v>
      </c>
    </row>
    <row r="206" spans="1:5" ht="28.5" customHeight="1" x14ac:dyDescent="0.2">
      <c r="A206" s="7">
        <f t="shared" si="8"/>
        <v>3715000</v>
      </c>
      <c r="B206" s="7">
        <v>240000</v>
      </c>
      <c r="C206" s="7"/>
      <c r="D206" s="7" t="s">
        <v>248</v>
      </c>
      <c r="E206" s="1" t="s">
        <v>247</v>
      </c>
    </row>
    <row r="207" spans="1:5" ht="28.5" customHeight="1" x14ac:dyDescent="0.2">
      <c r="A207" s="7">
        <f t="shared" si="8"/>
        <v>3965000</v>
      </c>
      <c r="B207" s="7">
        <v>250000</v>
      </c>
      <c r="C207" s="7"/>
      <c r="D207" s="7" t="s">
        <v>250</v>
      </c>
      <c r="E207" s="1" t="s">
        <v>249</v>
      </c>
    </row>
    <row r="208" spans="1:5" ht="28.5" customHeight="1" x14ac:dyDescent="0.2">
      <c r="A208" s="7">
        <f t="shared" si="8"/>
        <v>4465000</v>
      </c>
      <c r="B208" s="7">
        <v>500000</v>
      </c>
      <c r="C208" s="7"/>
      <c r="D208" s="7" t="s">
        <v>252</v>
      </c>
      <c r="E208" s="1" t="s">
        <v>251</v>
      </c>
    </row>
    <row r="209" spans="1:4" ht="28.5" customHeight="1" x14ac:dyDescent="0.2">
      <c r="A209" s="8"/>
      <c r="B209" s="8">
        <f xml:space="preserve"> SUM(B188:B208)+B183</f>
        <v>22139000</v>
      </c>
      <c r="C209" s="8">
        <f>SUM(C188:C208)+C183</f>
        <v>17674000</v>
      </c>
      <c r="D209" s="8"/>
    </row>
    <row r="210" spans="1:4" ht="28.5" customHeight="1" x14ac:dyDescent="0.3">
      <c r="A210" s="8"/>
      <c r="B210" s="12">
        <f>A208</f>
        <v>4465000</v>
      </c>
      <c r="C210" s="18" t="s">
        <v>244</v>
      </c>
      <c r="D210" s="18"/>
    </row>
    <row r="211" spans="1:4" ht="28.5" customHeight="1" x14ac:dyDescent="0.2"/>
    <row r="212" spans="1:4" ht="28.5" customHeight="1" x14ac:dyDescent="0.2"/>
    <row r="213" spans="1:4" ht="28.5" customHeight="1" x14ac:dyDescent="0.2"/>
    <row r="214" spans="1:4" ht="28.5" customHeight="1" x14ac:dyDescent="0.2"/>
    <row r="215" spans="1:4" ht="28.5" customHeight="1" x14ac:dyDescent="0.2"/>
    <row r="216" spans="1:4" ht="28.5" customHeight="1" x14ac:dyDescent="0.2"/>
    <row r="217" spans="1:4" ht="28.5" customHeight="1" x14ac:dyDescent="0.2"/>
    <row r="218" spans="1:4" ht="28.5" customHeight="1" x14ac:dyDescent="0.2"/>
    <row r="219" spans="1:4" ht="28.5" customHeight="1" x14ac:dyDescent="0.2"/>
    <row r="220" spans="1:4" ht="28.5" customHeight="1" x14ac:dyDescent="0.2"/>
    <row r="221" spans="1:4" ht="28.5" customHeight="1" x14ac:dyDescent="0.2"/>
    <row r="222" spans="1:4" ht="28.5" customHeight="1" x14ac:dyDescent="0.2"/>
    <row r="223" spans="1:4" ht="28.5" customHeight="1" x14ac:dyDescent="0.2"/>
    <row r="224" spans="1:4" ht="28.5" customHeight="1" x14ac:dyDescent="0.2"/>
    <row r="225" ht="28.5" customHeight="1" x14ac:dyDescent="0.2"/>
    <row r="226" ht="28.5" customHeight="1" x14ac:dyDescent="0.2"/>
    <row r="227" ht="28.5" customHeight="1" x14ac:dyDescent="0.2"/>
    <row r="228" ht="28.5" customHeight="1" x14ac:dyDescent="0.2"/>
    <row r="229" ht="28.5" customHeight="1" x14ac:dyDescent="0.2"/>
    <row r="230" ht="28.5" customHeight="1" x14ac:dyDescent="0.2"/>
    <row r="231" ht="28.5" customHeight="1" x14ac:dyDescent="0.2"/>
    <row r="232" ht="28.5" customHeight="1" x14ac:dyDescent="0.2"/>
    <row r="233" ht="28.5" customHeight="1" x14ac:dyDescent="0.2"/>
    <row r="234" ht="28.5" customHeight="1" x14ac:dyDescent="0.2"/>
    <row r="235" ht="28.5" customHeight="1" x14ac:dyDescent="0.2"/>
    <row r="236" ht="28.5" customHeight="1" x14ac:dyDescent="0.2"/>
    <row r="237" ht="28.5" customHeight="1" x14ac:dyDescent="0.2"/>
    <row r="238" ht="28.5" customHeight="1" x14ac:dyDescent="0.2"/>
    <row r="239" ht="28.5" customHeight="1" x14ac:dyDescent="0.2"/>
    <row r="240" ht="28.5" customHeight="1" x14ac:dyDescent="0.2"/>
    <row r="241" ht="28.5" customHeight="1" x14ac:dyDescent="0.2"/>
    <row r="242" ht="28.5" customHeight="1" x14ac:dyDescent="0.2"/>
    <row r="243" ht="28.5" customHeight="1" x14ac:dyDescent="0.2"/>
    <row r="244" ht="28.5" customHeight="1" x14ac:dyDescent="0.2"/>
    <row r="245" ht="28.5" customHeight="1" x14ac:dyDescent="0.2"/>
    <row r="246" ht="28.5" customHeight="1" x14ac:dyDescent="0.2"/>
    <row r="247" ht="28.5" customHeight="1" x14ac:dyDescent="0.2"/>
    <row r="248" ht="28.5" customHeight="1" x14ac:dyDescent="0.2"/>
    <row r="249" ht="28.5" customHeight="1" x14ac:dyDescent="0.2"/>
    <row r="250" ht="28.5" customHeight="1" x14ac:dyDescent="0.2"/>
    <row r="251" ht="28.5" customHeight="1" x14ac:dyDescent="0.2"/>
    <row r="252" ht="28.5" customHeight="1" x14ac:dyDescent="0.2"/>
    <row r="253" ht="28.5" customHeight="1" x14ac:dyDescent="0.2"/>
    <row r="254" ht="28.5" customHeight="1" x14ac:dyDescent="0.2"/>
    <row r="255" ht="28.5" customHeight="1" x14ac:dyDescent="0.2"/>
    <row r="256" ht="28.5" customHeight="1" x14ac:dyDescent="0.2"/>
    <row r="257" ht="28.5" customHeight="1" x14ac:dyDescent="0.2"/>
    <row r="258" ht="28.5" customHeight="1" x14ac:dyDescent="0.2"/>
    <row r="259" ht="28.5" customHeight="1" x14ac:dyDescent="0.2"/>
    <row r="260" ht="28.5" customHeight="1" x14ac:dyDescent="0.2"/>
    <row r="261" ht="28.5" customHeight="1" x14ac:dyDescent="0.2"/>
    <row r="262" ht="28.5" customHeight="1" x14ac:dyDescent="0.2"/>
    <row r="263" ht="28.5" customHeight="1" x14ac:dyDescent="0.2"/>
  </sheetData>
  <mergeCells count="6">
    <mergeCell ref="C210:D210"/>
    <mergeCell ref="C81:D81"/>
    <mergeCell ref="C108:D108"/>
    <mergeCell ref="C133:D133"/>
    <mergeCell ref="C158:D158"/>
    <mergeCell ref="C184:D184"/>
  </mergeCells>
  <conditionalFormatting sqref="B133">
    <cfRule type="cellIs" dxfId="15" priority="13" operator="lessThanOrEqual">
      <formula>0</formula>
    </cfRule>
    <cfRule type="cellIs" dxfId="14" priority="14" operator="lessThan">
      <formula>0</formula>
    </cfRule>
    <cfRule type="cellIs" dxfId="13" priority="15" operator="equal">
      <formula>0</formula>
    </cfRule>
    <cfRule type="cellIs" dxfId="12" priority="16" operator="greaterThan">
      <formula>0</formula>
    </cfRule>
  </conditionalFormatting>
  <conditionalFormatting sqref="B158">
    <cfRule type="cellIs" dxfId="11" priority="9" operator="lessThanOrEqual">
      <formula>0</formula>
    </cfRule>
    <cfRule type="cellIs" dxfId="10" priority="10" operator="lessThan">
      <formula>0</formula>
    </cfRule>
    <cfRule type="cellIs" dxfId="9" priority="11" operator="equal">
      <formula>0</formula>
    </cfRule>
    <cfRule type="cellIs" dxfId="8" priority="12" operator="greaterThan">
      <formula>0</formula>
    </cfRule>
  </conditionalFormatting>
  <conditionalFormatting sqref="B184">
    <cfRule type="cellIs" dxfId="7" priority="5" operator="lessThanOrEqual">
      <formula>0</formula>
    </cfRule>
    <cfRule type="cellIs" dxfId="6" priority="6" operator="lessThan">
      <formula>0</formula>
    </cfRule>
    <cfRule type="cellIs" dxfId="5" priority="7" operator="equal">
      <formula>0</formula>
    </cfRule>
    <cfRule type="cellIs" dxfId="4" priority="8" operator="greaterThan">
      <formula>0</formula>
    </cfRule>
  </conditionalFormatting>
  <conditionalFormatting sqref="B210">
    <cfRule type="cellIs" dxfId="3" priority="1" operator="lessThanOrEqual">
      <formula>0</formula>
    </cfRule>
    <cfRule type="cellIs" dxfId="2" priority="2" operator="lessThan">
      <formula>0</formula>
    </cfRule>
    <cfRule type="cellIs" dxfId="1" priority="3" operator="equal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2026-10-30T10:05:42Z</dcterms:modified>
</cp:coreProperties>
</file>