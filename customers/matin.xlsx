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  <c r="B52" i="1"/>
  <c r="A31" i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C54" i="1" s="1"/>
  <c r="H2" i="1" s="1"/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4" i="1"/>
  <c r="A3" i="1"/>
  <c r="B24" i="1" l="1"/>
  <c r="C24" i="1"/>
  <c r="C26" i="1" l="1"/>
</calcChain>
</file>

<file path=xl/sharedStrings.xml><?xml version="1.0" encoding="utf-8"?>
<sst xmlns="http://schemas.openxmlformats.org/spreadsheetml/2006/main" count="82" uniqueCount="61">
  <si>
    <t>نام طرف حساب :</t>
  </si>
  <si>
    <t>وجه حساب</t>
  </si>
  <si>
    <t>فاکتور</t>
  </si>
  <si>
    <t>مبلغ فاکتور</t>
  </si>
  <si>
    <t xml:space="preserve">جمع بدهی </t>
  </si>
  <si>
    <t>تاریخ</t>
  </si>
  <si>
    <t>جمع کل بدهی :</t>
  </si>
  <si>
    <t>با تشکر از خرید شما</t>
  </si>
  <si>
    <t>مواد غذایی رحمتی</t>
  </si>
  <si>
    <t>متین میرزایی</t>
  </si>
  <si>
    <t>1404/06/08</t>
  </si>
  <si>
    <t>سیگار</t>
  </si>
  <si>
    <t>1404/06/13</t>
  </si>
  <si>
    <t>الباقی چیپس کرانچی سیگار آب</t>
  </si>
  <si>
    <t>1404/06/15</t>
  </si>
  <si>
    <t>وجه</t>
  </si>
  <si>
    <t>1404/07/03</t>
  </si>
  <si>
    <t>سیگار بستنی</t>
  </si>
  <si>
    <t>1404/07/05</t>
  </si>
  <si>
    <t>1404/07/10</t>
  </si>
  <si>
    <t>سیگار بستنی پچ پچ</t>
  </si>
  <si>
    <t>1404/07/11</t>
  </si>
  <si>
    <t>کیک ابمیوه انبار</t>
  </si>
  <si>
    <t>1404/07/18</t>
  </si>
  <si>
    <t>1404/07/24</t>
  </si>
  <si>
    <t>1404/07/28</t>
  </si>
  <si>
    <t>مزه</t>
  </si>
  <si>
    <t>1404/08/02</t>
  </si>
  <si>
    <t>شکلات سیگتر</t>
  </si>
  <si>
    <t>1404/08/09</t>
  </si>
  <si>
    <t>1404/08/29</t>
  </si>
  <si>
    <t>سیگار چیپس انرژی زا</t>
  </si>
  <si>
    <t>1404/08/30</t>
  </si>
  <si>
    <t>شکلات شیر موز</t>
  </si>
  <si>
    <t>1404/09/10</t>
  </si>
  <si>
    <t>1404/09/11</t>
  </si>
  <si>
    <t>1404/09/18</t>
  </si>
  <si>
    <t>وجهه</t>
  </si>
  <si>
    <t>1404/09/20</t>
  </si>
  <si>
    <t>1404/09/29</t>
  </si>
  <si>
    <t>سیگار پچپچ</t>
  </si>
  <si>
    <t>1404/10/12</t>
  </si>
  <si>
    <t>1404/10/17</t>
  </si>
  <si>
    <t>الباقی شیر کیک تخمه</t>
  </si>
  <si>
    <t>1404/10/28</t>
  </si>
  <si>
    <t>سیگار تخمه چیپس</t>
  </si>
  <si>
    <t>1405/04/15</t>
  </si>
  <si>
    <t>وج</t>
  </si>
  <si>
    <t>1405/05/31</t>
  </si>
  <si>
    <t>تخمه</t>
  </si>
  <si>
    <t>1405/06/01</t>
  </si>
  <si>
    <t>لواشک</t>
  </si>
  <si>
    <t>1405/07/01</t>
  </si>
  <si>
    <t>1405/07/12</t>
  </si>
  <si>
    <t>چیپس نوشابه تخمه</t>
  </si>
  <si>
    <t>1405/07/19</t>
  </si>
  <si>
    <t>الباقی سیگار</t>
  </si>
  <si>
    <t>1405/07/24</t>
  </si>
  <si>
    <t>سیگار فندک</t>
  </si>
  <si>
    <t>1405/07/26</t>
  </si>
  <si>
    <t>1405/07/30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</si>
</sst>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5" fillId="0" borderId="0" xfId="0" applyFont="1" applyBorder="1"/>
    <xf numFmtId="3" fontId="2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3" fontId="3" fillId="0" borderId="1" xfId="0" applyNumberFormat="1" applyFont="1" applyBorder="1"/>
    <xf numFmtId="3" fontId="4" fillId="0" borderId="1" xfId="0" applyNumberFormat="1" applyFont="1" applyBorder="1"/>
    <xf numFmtId="3" fontId="2" fillId="0" borderId="1" xfId="0" applyNumberFormat="1" applyFont="1" applyBorder="1"/>
    <xf numFmtId="3" fontId="0" fillId="0" borderId="1" xfId="0" applyNumberFormat="1" applyBorder="1"/>
    <xf numFmtId="3" fontId="0" fillId="0" borderId="1" xfId="0" applyNumberFormat="1" applyFont="1" applyBorder="1"/>
    <xf numFmtId="3" fontId="1" fillId="0" borderId="1" xfId="0" applyNumberFormat="1" applyFont="1" applyBorder="1"/>
    <xf numFmtId="3" fontId="0" fillId="0" borderId="0" xfId="0" applyNumberFormat="1" applyBorder="1"/>
    <xf numFmtId="3" fontId="2" fillId="0" borderId="0" xfId="0" applyNumberFormat="1" applyFont="1" applyBorder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topLeftCell="A32" zoomScaleNormal="100" workbookViewId="0">
      <selection activeCell="C42" sqref="C42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1.125" customWidth="1"/>
    <col min="6" max="6" width="18.125" customWidth="1"/>
  </cols>
  <sheetData>
    <row r="1" spans="1:8" ht="42" customHeight="1" x14ac:dyDescent="0.35">
      <c r="A1" s="3" t="s">
        <v>9</v>
      </c>
      <c r="B1" s="4" t="s">
        <v>0</v>
      </c>
      <c r="C1" s="4"/>
      <c r="D1" s="5"/>
      <c r="E1" s="5"/>
    </row>
    <row r="2" spans="1:8" ht="42.75" customHeight="1" x14ac:dyDescent="0.35">
      <c r="A2" s="6" t="s">
        <v>4</v>
      </c>
      <c r="B2" s="7" t="s">
        <v>3</v>
      </c>
      <c r="C2" s="6" t="s">
        <v>1</v>
      </c>
      <c r="D2" s="8" t="s">
        <v>2</v>
      </c>
      <c r="E2" s="8" t="s">
        <v>5</v>
      </c>
      <c r="H2" s="5">
        <f>C54</f>
        <v>-3000</v>
      </c>
    </row>
    <row r="3" spans="1:8" ht="25.5" customHeight="1" x14ac:dyDescent="0.2">
      <c r="A3" s="9">
        <f xml:space="preserve"> B3</f>
        <v>60000</v>
      </c>
      <c r="B3" s="9">
        <v>60000</v>
      </c>
      <c r="C3" s="9"/>
      <c r="D3" s="9" t="s">
        <v>11</v>
      </c>
      <c r="E3" s="9" t="s">
        <v>10</v>
      </c>
    </row>
    <row r="4" spans="1:8" ht="28.5" customHeight="1" x14ac:dyDescent="0.2">
      <c r="A4" s="9">
        <f xml:space="preserve"> A3 +B4-C4</f>
        <v>242000</v>
      </c>
      <c r="B4" s="9">
        <v>182000</v>
      </c>
      <c r="C4" s="9"/>
      <c r="D4" s="9" t="s">
        <v>13</v>
      </c>
      <c r="E4" s="9" t="s">
        <v>12</v>
      </c>
    </row>
    <row r="5" spans="1:8" ht="28.5" customHeight="1" x14ac:dyDescent="0.2">
      <c r="A5" s="9">
        <f t="shared" ref="A5:A23" si="0" xml:space="preserve"> A4 +B5-C5</f>
        <v>0</v>
      </c>
      <c r="B5" s="9"/>
      <c r="C5" s="9">
        <v>242000</v>
      </c>
      <c r="D5" s="9" t="s">
        <v>15</v>
      </c>
      <c r="E5" s="9" t="s">
        <v>14</v>
      </c>
    </row>
    <row r="6" spans="1:8" ht="24" customHeight="1" x14ac:dyDescent="0.2">
      <c r="A6" s="9">
        <f t="shared" si="0"/>
        <v>120000</v>
      </c>
      <c r="B6" s="9">
        <v>120000</v>
      </c>
      <c r="C6" s="9"/>
      <c r="D6" s="9" t="s">
        <v>17</v>
      </c>
      <c r="E6" s="9" t="s">
        <v>16</v>
      </c>
    </row>
    <row r="7" spans="1:8" ht="24" customHeight="1" x14ac:dyDescent="0.2">
      <c r="A7" s="9">
        <f t="shared" si="0"/>
        <v>185000</v>
      </c>
      <c r="B7" s="9">
        <v>65000</v>
      </c>
      <c r="C7" s="9"/>
      <c r="D7" s="9" t="s">
        <v>11</v>
      </c>
      <c r="E7" s="9" t="s">
        <v>18</v>
      </c>
    </row>
    <row r="8" spans="1:8" ht="27" customHeight="1" x14ac:dyDescent="0.2">
      <c r="A8" s="9">
        <f t="shared" si="0"/>
        <v>316000</v>
      </c>
      <c r="B8" s="9">
        <v>131000</v>
      </c>
      <c r="C8" s="9"/>
      <c r="D8" s="9" t="s">
        <v>20</v>
      </c>
      <c r="E8" s="9" t="s">
        <v>19</v>
      </c>
    </row>
    <row r="9" spans="1:8" ht="26.25" customHeight="1" x14ac:dyDescent="0.2">
      <c r="A9" s="9">
        <f t="shared" si="0"/>
        <v>16000</v>
      </c>
      <c r="B9" s="9"/>
      <c r="C9" s="9">
        <v>300000</v>
      </c>
      <c r="D9" s="9" t="s">
        <v>15</v>
      </c>
      <c r="E9" s="9" t="s">
        <v>19</v>
      </c>
    </row>
    <row r="10" spans="1:8" ht="29.25" customHeight="1" x14ac:dyDescent="0.2">
      <c r="A10" s="9">
        <f t="shared" si="0"/>
        <v>116000</v>
      </c>
      <c r="B10" s="9">
        <v>100000</v>
      </c>
      <c r="C10" s="9"/>
      <c r="D10" s="9" t="s">
        <v>22</v>
      </c>
      <c r="E10" s="9" t="s">
        <v>21</v>
      </c>
    </row>
    <row r="11" spans="1:8" ht="21" customHeight="1" x14ac:dyDescent="0.2">
      <c r="A11" s="9">
        <f t="shared" si="0"/>
        <v>276000</v>
      </c>
      <c r="B11" s="9">
        <v>160000</v>
      </c>
      <c r="C11" s="9"/>
      <c r="D11" s="9" t="s">
        <v>11</v>
      </c>
      <c r="E11" s="9" t="s">
        <v>23</v>
      </c>
    </row>
    <row r="12" spans="1:8" ht="21.75" customHeight="1" x14ac:dyDescent="0.2">
      <c r="A12" s="9">
        <f t="shared" si="0"/>
        <v>-24000</v>
      </c>
      <c r="B12" s="9"/>
      <c r="C12" s="9">
        <v>300000</v>
      </c>
      <c r="D12" s="9" t="s">
        <v>15</v>
      </c>
      <c r="E12" s="9" t="s">
        <v>24</v>
      </c>
    </row>
    <row r="13" spans="1:8" ht="19.5" customHeight="1" x14ac:dyDescent="0.2">
      <c r="A13" s="9">
        <f t="shared" si="0"/>
        <v>183000</v>
      </c>
      <c r="B13" s="9">
        <v>207000</v>
      </c>
      <c r="C13" s="9"/>
      <c r="D13" s="9" t="s">
        <v>26</v>
      </c>
      <c r="E13" s="9" t="s">
        <v>25</v>
      </c>
    </row>
    <row r="14" spans="1:8" ht="23.25" customHeight="1" x14ac:dyDescent="0.2">
      <c r="A14" s="9">
        <f t="shared" si="0"/>
        <v>335000</v>
      </c>
      <c r="B14" s="9">
        <v>152000</v>
      </c>
      <c r="C14" s="9"/>
      <c r="D14" s="9" t="s">
        <v>28</v>
      </c>
      <c r="E14" s="9" t="s">
        <v>27</v>
      </c>
    </row>
    <row r="15" spans="1:8" ht="24.75" customHeight="1" x14ac:dyDescent="0.2">
      <c r="A15" s="9">
        <f t="shared" si="0"/>
        <v>410000</v>
      </c>
      <c r="B15" s="9">
        <v>75000</v>
      </c>
      <c r="C15" s="9"/>
      <c r="D15" s="9" t="s">
        <v>11</v>
      </c>
      <c r="E15" s="9" t="s">
        <v>29</v>
      </c>
    </row>
    <row r="16" spans="1:8" ht="24.75" customHeight="1" x14ac:dyDescent="0.2">
      <c r="A16" s="9">
        <f t="shared" si="0"/>
        <v>1010000</v>
      </c>
      <c r="B16" s="9">
        <v>600000</v>
      </c>
      <c r="C16" s="9"/>
      <c r="D16" s="9" t="s">
        <v>31</v>
      </c>
      <c r="E16" s="9" t="s">
        <v>30</v>
      </c>
    </row>
    <row r="17" spans="1:6" ht="21.75" customHeight="1" x14ac:dyDescent="0.2">
      <c r="A17" s="9">
        <f t="shared" si="0"/>
        <v>1077000</v>
      </c>
      <c r="B17" s="9">
        <v>67000</v>
      </c>
      <c r="C17" s="9"/>
      <c r="D17" s="10" t="s">
        <v>33</v>
      </c>
      <c r="E17" s="10" t="s">
        <v>32</v>
      </c>
    </row>
    <row r="18" spans="1:6" ht="23.25" customHeight="1" x14ac:dyDescent="0.2">
      <c r="A18" s="9">
        <f t="shared" si="0"/>
        <v>1152000</v>
      </c>
      <c r="B18" s="9">
        <v>75000</v>
      </c>
      <c r="C18" s="9"/>
      <c r="D18" s="10" t="s">
        <v>11</v>
      </c>
      <c r="E18" s="9" t="s">
        <v>34</v>
      </c>
    </row>
    <row r="19" spans="1:6" ht="22.5" customHeight="1" x14ac:dyDescent="0.2">
      <c r="A19" s="9">
        <f t="shared" si="0"/>
        <v>1126000</v>
      </c>
      <c r="B19" s="9"/>
      <c r="C19" s="9">
        <v>26000</v>
      </c>
      <c r="D19" s="9" t="s">
        <v>15</v>
      </c>
      <c r="E19" s="9" t="s">
        <v>35</v>
      </c>
    </row>
    <row r="20" spans="1:6" ht="25.5" customHeight="1" x14ac:dyDescent="0.3">
      <c r="A20" s="9">
        <f t="shared" si="0"/>
        <v>126000</v>
      </c>
      <c r="B20" s="11"/>
      <c r="C20" s="10">
        <v>1000000</v>
      </c>
      <c r="D20" s="9" t="s">
        <v>37</v>
      </c>
      <c r="E20" s="9" t="s">
        <v>36</v>
      </c>
    </row>
    <row r="21" spans="1:6" ht="27" customHeight="1" x14ac:dyDescent="0.35">
      <c r="A21" s="9">
        <f t="shared" si="0"/>
        <v>-4000</v>
      </c>
      <c r="B21" s="7"/>
      <c r="C21" s="10">
        <v>130000</v>
      </c>
      <c r="D21" s="10" t="s">
        <v>37</v>
      </c>
      <c r="E21" s="10" t="s">
        <v>38</v>
      </c>
    </row>
    <row r="22" spans="1:6" ht="28.5" customHeight="1" x14ac:dyDescent="0.2">
      <c r="A22" s="9">
        <f t="shared" si="0"/>
        <v>333000</v>
      </c>
      <c r="B22" s="9">
        <v>337000</v>
      </c>
      <c r="C22" s="9"/>
      <c r="D22" s="9" t="s">
        <v>40</v>
      </c>
      <c r="E22" s="9" t="s">
        <v>39</v>
      </c>
    </row>
    <row r="23" spans="1:6" ht="28.5" customHeight="1" x14ac:dyDescent="0.2">
      <c r="A23" s="9">
        <f t="shared" si="0"/>
        <v>123000</v>
      </c>
      <c r="B23" s="9"/>
      <c r="C23" s="9">
        <v>210000</v>
      </c>
      <c r="D23" s="9" t="s">
        <v>15</v>
      </c>
      <c r="E23" s="9" t="s">
        <v>41</v>
      </c>
    </row>
    <row r="24" spans="1:6" ht="25.5" customHeight="1" x14ac:dyDescent="0.2">
      <c r="A24" s="12"/>
      <c r="B24" s="12">
        <f xml:space="preserve"> SUM(B3:B23)</f>
        <v>2331000</v>
      </c>
      <c r="C24" s="12">
        <f xml:space="preserve"> SUM(C3:C23)</f>
        <v>2208000</v>
      </c>
      <c r="D24" s="12"/>
      <c r="E24" s="12"/>
    </row>
    <row r="25" spans="1:6" ht="30" customHeight="1" x14ac:dyDescent="0.2">
      <c r="A25" s="12"/>
      <c r="B25" s="12"/>
      <c r="C25" s="12"/>
      <c r="D25" s="12"/>
      <c r="E25" s="12"/>
    </row>
    <row r="26" spans="1:6" ht="24.75" customHeight="1" x14ac:dyDescent="0.35">
      <c r="A26" s="12"/>
      <c r="B26" s="12"/>
      <c r="C26" s="13">
        <f>A23</f>
        <v>123000</v>
      </c>
      <c r="D26" s="12" t="s">
        <v>6</v>
      </c>
      <c r="E26" s="12"/>
    </row>
    <row r="27" spans="1:6" ht="29.25" customHeight="1" x14ac:dyDescent="0.2">
      <c r="A27" s="12"/>
      <c r="B27" s="12"/>
      <c r="C27" s="12"/>
      <c r="D27" s="12"/>
      <c r="E27" s="12"/>
    </row>
    <row r="28" spans="1:6" ht="27.75" customHeight="1" x14ac:dyDescent="0.25">
      <c r="A28" s="1"/>
      <c r="B28" s="2" t="s">
        <v>8</v>
      </c>
      <c r="C28" s="2"/>
      <c r="D28" s="2" t="s">
        <v>7</v>
      </c>
      <c r="E28" s="1"/>
    </row>
    <row r="29" spans="1:6" ht="29.25" customHeight="1" x14ac:dyDescent="0.35">
      <c r="A29" s="3" t="s">
        <v>9</v>
      </c>
      <c r="B29" s="4" t="s">
        <v>0</v>
      </c>
      <c r="C29" s="4"/>
      <c r="D29" s="5"/>
      <c r="E29" s="5"/>
    </row>
    <row r="30" spans="1:6" ht="29.25" customHeight="1" x14ac:dyDescent="0.35">
      <c r="A30" s="6" t="s">
        <v>4</v>
      </c>
      <c r="B30" s="7" t="s">
        <v>3</v>
      </c>
      <c r="C30" s="6" t="s">
        <v>1</v>
      </c>
      <c r="D30" s="8" t="s">
        <v>2</v>
      </c>
      <c r="E30" s="8" t="s">
        <v>5</v>
      </c>
    </row>
    <row r="31" spans="1:6" ht="29.25" customHeight="1" x14ac:dyDescent="0.2">
      <c r="A31" s="9">
        <f xml:space="preserve"> B31+C26-C31</f>
        <v>323000</v>
      </c>
      <c r="B31" s="9">
        <v>200000</v>
      </c>
      <c r="C31" s="9"/>
      <c r="D31" s="9" t="s">
        <v>43</v>
      </c>
      <c r="E31" s="9" t="s">
        <v>42</v>
      </c>
      <c r="F31" s="5"/>
    </row>
    <row r="32" spans="1:6" ht="29.25" customHeight="1" x14ac:dyDescent="0.2">
      <c r="A32" s="9">
        <f xml:space="preserve"> A31 +B32-C32</f>
        <v>655000</v>
      </c>
      <c r="B32" s="9">
        <v>332000</v>
      </c>
      <c r="C32" s="9"/>
      <c r="D32" s="9" t="s">
        <v>45</v>
      </c>
      <c r="E32" s="9" t="s">
        <v>44</v>
      </c>
    </row>
    <row r="33" spans="1:5" ht="29.25" customHeight="1" x14ac:dyDescent="0.2">
      <c r="A33" s="9">
        <f t="shared" ref="A33:A51" si="1" xml:space="preserve"> A32 +B33-C33</f>
        <v>0</v>
      </c>
      <c r="B33" s="9"/>
      <c r="C33" s="9">
        <v>655000</v>
      </c>
      <c r="D33" s="9" t="s">
        <v>47</v>
      </c>
      <c r="E33" s="9" t="s">
        <v>46</v>
      </c>
    </row>
    <row r="34" spans="1:5" ht="29.25" customHeight="1" x14ac:dyDescent="0.2">
      <c r="A34" s="9">
        <f t="shared" si="1"/>
        <v>300000</v>
      </c>
      <c r="B34" s="9">
        <v>300000</v>
      </c>
      <c r="C34" s="9"/>
      <c r="D34" s="9" t="s">
        <v>49</v>
      </c>
      <c r="E34" s="9" t="s">
        <v>48</v>
      </c>
    </row>
    <row r="35" spans="1:5" ht="29.25" customHeight="1" x14ac:dyDescent="0.2">
      <c r="A35" s="9">
        <f t="shared" si="1"/>
        <v>425000</v>
      </c>
      <c r="B35" s="9">
        <v>125000</v>
      </c>
      <c r="C35" s="9"/>
      <c r="D35" s="9" t="s">
        <v>51</v>
      </c>
      <c r="E35" s="9" t="s">
        <v>50</v>
      </c>
    </row>
    <row r="36" spans="1:5" ht="29.25" customHeight="1" x14ac:dyDescent="0.2">
      <c r="A36" s="9">
        <f t="shared" si="1"/>
        <v>-25000</v>
      </c>
      <c r="B36" s="9"/>
      <c r="C36" s="9">
        <v>450000</v>
      </c>
      <c r="D36" s="9" t="s">
        <v>15</v>
      </c>
      <c r="E36" s="9" t="s">
        <v>52</v>
      </c>
    </row>
    <row r="37" spans="1:5" ht="29.25" customHeight="1" x14ac:dyDescent="0.2">
      <c r="A37" s="9">
        <f t="shared" si="1"/>
        <v>500000</v>
      </c>
      <c r="B37" s="9">
        <v>525000</v>
      </c>
      <c r="C37" s="9"/>
      <c r="D37" s="9" t="s">
        <v>54</v>
      </c>
      <c r="E37" s="9" t="s">
        <v>53</v>
      </c>
    </row>
    <row r="38" spans="1:5" ht="29.25" customHeight="1" x14ac:dyDescent="0.2">
      <c r="A38" s="9">
        <f t="shared" si="1"/>
        <v>600000</v>
      </c>
      <c r="B38" s="9">
        <v>100000</v>
      </c>
      <c r="C38" s="9"/>
      <c r="D38" s="9" t="s">
        <v>56</v>
      </c>
      <c r="E38" s="9" t="s">
        <v>55</v>
      </c>
    </row>
    <row r="39" spans="1:5" ht="29.25" customHeight="1" x14ac:dyDescent="0.2">
      <c r="A39" s="9">
        <f t="shared" si="1"/>
        <v>800000</v>
      </c>
      <c r="B39" s="9">
        <v>200000</v>
      </c>
      <c r="C39" s="9"/>
      <c r="D39" s="9" t="s">
        <v>58</v>
      </c>
      <c r="E39" s="9" t="s">
        <v>57</v>
      </c>
    </row>
    <row r="40" spans="1:5" ht="29.25" customHeight="1" x14ac:dyDescent="0.2">
      <c r="A40" s="9">
        <f t="shared" si="1"/>
        <v>927000</v>
      </c>
      <c r="B40" s="9">
        <v>127000</v>
      </c>
      <c r="C40" s="9"/>
      <c r="D40" s="9" t="s">
        <v>49</v>
      </c>
      <c r="E40" s="9" t="s">
        <v>59</v>
      </c>
    </row>
    <row r="41" spans="1:5" ht="29.25" customHeight="1" x14ac:dyDescent="0.2">
      <c r="A41" s="9">
        <f t="shared" si="1"/>
        <v>-3000</v>
      </c>
      <c r="B41" s="9"/>
      <c r="C41" s="9">
        <v>930000</v>
      </c>
      <c r="D41" s="9" t="s">
        <v>15</v>
      </c>
      <c r="E41" s="9" t="s">
        <v>60</v>
      </c>
    </row>
    <row r="42" spans="1:5" ht="29.25" customHeight="1" x14ac:dyDescent="0.2">
      <c r="A42" s="9">
        <f t="shared" si="1"/>
        <v>-3000</v>
      </c>
      <c r="B42" s="9"/>
      <c r="C42" s="9"/>
      <c r="D42" s="9"/>
      <c r="E42" s="9"/>
    </row>
    <row r="43" spans="1:5" ht="29.25" customHeight="1" x14ac:dyDescent="0.2">
      <c r="A43" s="9">
        <f t="shared" si="1"/>
        <v>-3000</v>
      </c>
      <c r="B43" s="9"/>
      <c r="C43" s="9"/>
      <c r="D43" s="9"/>
      <c r="E43" s="9"/>
    </row>
    <row r="44" spans="1:5" ht="29.25" customHeight="1" x14ac:dyDescent="0.2">
      <c r="A44" s="9">
        <f t="shared" si="1"/>
        <v>-3000</v>
      </c>
      <c r="B44" s="9"/>
      <c r="C44" s="9"/>
      <c r="D44" s="9"/>
      <c r="E44" s="9"/>
    </row>
    <row r="45" spans="1:5" ht="29.25" customHeight="1" x14ac:dyDescent="0.2">
      <c r="A45" s="9">
        <f t="shared" si="1"/>
        <v>-3000</v>
      </c>
      <c r="B45" s="9"/>
      <c r="C45" s="9"/>
      <c r="D45" s="10"/>
      <c r="E45" s="10"/>
    </row>
    <row r="46" spans="1:5" ht="29.25" customHeight="1" x14ac:dyDescent="0.2">
      <c r="A46" s="9">
        <f t="shared" si="1"/>
        <v>-3000</v>
      </c>
      <c r="B46" s="9"/>
      <c r="C46" s="9"/>
      <c r="D46" s="10"/>
      <c r="E46" s="9"/>
    </row>
    <row r="47" spans="1:5" ht="29.25" customHeight="1" x14ac:dyDescent="0.2">
      <c r="A47" s="9">
        <f t="shared" si="1"/>
        <v>-3000</v>
      </c>
      <c r="B47" s="9"/>
      <c r="C47" s="9"/>
      <c r="D47" s="9"/>
      <c r="E47" s="9"/>
    </row>
    <row r="48" spans="1:5" ht="29.25" customHeight="1" x14ac:dyDescent="0.3">
      <c r="A48" s="9">
        <f t="shared" si="1"/>
        <v>-3000</v>
      </c>
      <c r="B48" s="11"/>
      <c r="C48" s="10"/>
      <c r="D48" s="9"/>
      <c r="E48" s="9"/>
    </row>
    <row r="49" spans="1:5" ht="29.25" customHeight="1" x14ac:dyDescent="0.35">
      <c r="A49" s="9">
        <f t="shared" si="1"/>
        <v>-3000</v>
      </c>
      <c r="B49" s="7"/>
      <c r="C49" s="10"/>
      <c r="D49" s="10"/>
      <c r="E49" s="10"/>
    </row>
    <row r="50" spans="1:5" ht="29.25" customHeight="1" x14ac:dyDescent="0.2">
      <c r="A50" s="9">
        <f t="shared" si="1"/>
        <v>-3000</v>
      </c>
      <c r="B50" s="9"/>
      <c r="C50" s="9"/>
      <c r="D50" s="9"/>
      <c r="E50" s="9"/>
    </row>
    <row r="51" spans="1:5" ht="29.25" customHeight="1" x14ac:dyDescent="0.2">
      <c r="A51" s="9">
        <f t="shared" si="1"/>
        <v>-3000</v>
      </c>
      <c r="B51" s="9"/>
      <c r="C51" s="9"/>
      <c r="D51" s="9"/>
      <c r="E51" s="9"/>
    </row>
    <row r="52" spans="1:5" ht="29.25" customHeight="1" x14ac:dyDescent="0.2">
      <c r="A52" s="12"/>
      <c r="B52" s="12">
        <f xml:space="preserve"> SUM(B31:B51)+B24</f>
        <v>4240000</v>
      </c>
      <c r="C52" s="12">
        <f xml:space="preserve"> SUM(C31:C51)+C24</f>
        <v>4243000</v>
      </c>
      <c r="D52" s="12"/>
      <c r="E52" s="12"/>
    </row>
    <row r="53" spans="1:5" ht="29.25" customHeight="1" x14ac:dyDescent="0.2">
      <c r="A53" s="12"/>
      <c r="B53" s="12"/>
      <c r="C53" s="12"/>
      <c r="D53" s="12"/>
      <c r="E53" s="12"/>
    </row>
    <row r="54" spans="1:5" ht="29.25" customHeight="1" x14ac:dyDescent="0.35">
      <c r="A54" s="12"/>
      <c r="B54" s="12"/>
      <c r="C54" s="13">
        <f>A51</f>
        <v>-3000</v>
      </c>
      <c r="D54" s="12" t="s">
        <v>6</v>
      </c>
      <c r="E54" s="12"/>
    </row>
    <row r="55" spans="1:5" ht="29.25" customHeight="1" x14ac:dyDescent="0.2">
      <c r="A55" s="12"/>
      <c r="B55" s="12"/>
      <c r="C55" s="12"/>
      <c r="D55" s="12"/>
      <c r="E55" s="12"/>
    </row>
    <row r="56" spans="1:5" ht="29.25" customHeight="1" x14ac:dyDescent="0.25">
      <c r="A56" s="1"/>
      <c r="B56" s="2"/>
      <c r="C56" s="2"/>
      <c r="D56" s="2"/>
      <c r="E56" s="1"/>
    </row>
  </sheetData>
  <conditionalFormatting sqref="C26">
    <cfRule type="cellIs" dxfId="5" priority="6" operator="greaterThan">
      <formula>0</formula>
    </cfRule>
    <cfRule type="cellIs" dxfId="4" priority="5" operator="lessThan">
      <formula>0</formula>
    </cfRule>
    <cfRule type="cellIs" dxfId="3" priority="4" operator="lessThanOrEqual">
      <formula>0</formula>
    </cfRule>
  </conditionalFormatting>
  <conditionalFormatting sqref="C54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2026-10-22T11:27:00Z</dcterms:modified>
</cp:coreProperties>
</file>