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C22" i="1" l="1"/>
  <c r="B2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3" i="1" s="1"/>
</calcChain>
</file>

<file path=xl/sharedStrings.xml><?xml version="1.0" encoding="utf-8"?>
<sst xmlns="http://schemas.openxmlformats.org/spreadsheetml/2006/main" count="34" uniqueCount="31">
  <si>
    <t>نام طرف حساب :</t>
  </si>
  <si>
    <t>تاریخ</t>
  </si>
  <si>
    <t>توضیحات</t>
  </si>
  <si>
    <t>مبلغ فاکتور</t>
  </si>
  <si>
    <t>وجه فاکتور</t>
  </si>
  <si>
    <t>جمع کل</t>
  </si>
  <si>
    <t>جمع کل حساب با احتساب آخرین فاکتور :</t>
  </si>
  <si>
    <t>با تشکر از خرید شما</t>
  </si>
  <si>
    <t>مواد غذایی رحمتی</t>
  </si>
  <si>
    <t>علیرضا رحمتی</t>
  </si>
  <si>
    <t>1405/01/07</t>
  </si>
  <si>
    <t>وجه کالابرگ</t>
  </si>
  <si>
    <t>1405/01/08</t>
  </si>
  <si>
    <t>سیگار</t>
  </si>
  <si>
    <t>1405/01/09</t>
  </si>
  <si>
    <t>قهوه</t>
  </si>
  <si>
    <t>1405/01/10</t>
  </si>
  <si>
    <t>1405/01/16</t>
  </si>
  <si>
    <t>تخم مرغ</t>
  </si>
  <si>
    <t>1405/01/21</t>
  </si>
  <si>
    <t>1405/01/24</t>
  </si>
  <si>
    <t>مزه</t>
  </si>
  <si>
    <t>1405/02/04</t>
  </si>
  <si>
    <t>وچه</t>
  </si>
  <si>
    <t>وسیله</t>
  </si>
  <si>
    <t>1405/02/17</t>
  </si>
  <si>
    <t>چیپستر ذغال</t>
  </si>
  <si>
    <t>1405/02/20</t>
  </si>
  <si>
    <t>برگشتی مزه</t>
  </si>
  <si>
    <t>1405/04/04</t>
  </si>
  <si>
    <t>بستنی عاشورا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</si>
</sst>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workbookViewId="0">
      <selection activeCell="H3" sqref="H3"/>
    </sheetView>
  </sheetViews>
  <sheetFormatPr defaultRowHeight="14.25" x14ac:dyDescent="0.2"/>
  <cols>
    <col min="1" max="1" width="13.25" customWidth="1"/>
    <col min="2" max="2" width="14.625" customWidth="1"/>
    <col min="3" max="3" width="14.125" customWidth="1"/>
    <col min="4" max="4" width="17" customWidth="1"/>
    <col min="5" max="5" width="15.125" customWidth="1"/>
    <col min="8" max="8" width="9.875" bestFit="1" customWidth="1"/>
  </cols>
  <sheetData>
    <row r="1" spans="1:8" ht="30.75" customHeight="1" x14ac:dyDescent="0.25">
      <c r="A1" t="s">
        <v>9</v>
      </c>
      <c r="B1" s="1" t="s">
        <v>0</v>
      </c>
    </row>
    <row r="2" spans="1:8" ht="30.75" customHeight="1" x14ac:dyDescent="0.3">
      <c r="A2" s="2" t="s">
        <v>5</v>
      </c>
      <c r="B2" s="2" t="s">
        <v>3</v>
      </c>
      <c r="C2" s="2" t="s">
        <v>4</v>
      </c>
      <c r="D2" s="2" t="s">
        <v>2</v>
      </c>
      <c r="E2" s="2" t="s">
        <v>1</v>
      </c>
      <c r="H2" s="11">
        <f>A23</f>
        <v>10450000</v>
      </c>
    </row>
    <row r="3" spans="1:8" ht="30.75" customHeight="1" x14ac:dyDescent="0.2">
      <c r="A3" s="6">
        <f>B3-C3</f>
        <v>-2020000</v>
      </c>
      <c r="B3" s="6"/>
      <c r="C3" s="6">
        <v>2020000</v>
      </c>
      <c r="D3" s="6" t="s">
        <v>11</v>
      </c>
      <c r="E3" s="3" t="s">
        <v>10</v>
      </c>
      <c r="F3" s="4"/>
    </row>
    <row r="4" spans="1:8" ht="30.75" customHeight="1" x14ac:dyDescent="0.2">
      <c r="A4" s="6">
        <f>A3+B4-C4</f>
        <v>-1840000</v>
      </c>
      <c r="B4" s="6">
        <v>180000</v>
      </c>
      <c r="C4" s="6"/>
      <c r="D4" s="6" t="s">
        <v>13</v>
      </c>
      <c r="E4" s="3" t="s">
        <v>12</v>
      </c>
      <c r="F4" s="4"/>
    </row>
    <row r="5" spans="1:8" ht="30.75" customHeight="1" x14ac:dyDescent="0.2">
      <c r="A5" s="6">
        <f t="shared" ref="A5:A21" si="0">A4+B5-C5</f>
        <v>-1660000</v>
      </c>
      <c r="B5" s="6">
        <v>180000</v>
      </c>
      <c r="C5" s="6"/>
      <c r="D5" s="6" t="s">
        <v>13</v>
      </c>
      <c r="E5" s="3" t="s">
        <v>14</v>
      </c>
      <c r="F5" s="4"/>
    </row>
    <row r="6" spans="1:8" ht="30.75" customHeight="1" x14ac:dyDescent="0.2">
      <c r="A6" s="6">
        <f t="shared" si="0"/>
        <v>-1590000</v>
      </c>
      <c r="B6" s="6">
        <v>70000</v>
      </c>
      <c r="C6" s="6"/>
      <c r="D6" s="6" t="s">
        <v>15</v>
      </c>
      <c r="E6" s="3"/>
      <c r="F6" s="4"/>
    </row>
    <row r="7" spans="1:8" ht="30.75" customHeight="1" x14ac:dyDescent="0.2">
      <c r="A7" s="6">
        <f t="shared" si="0"/>
        <v>-1410000</v>
      </c>
      <c r="B7" s="6">
        <v>180000</v>
      </c>
      <c r="C7" s="6"/>
      <c r="D7" s="6" t="s">
        <v>13</v>
      </c>
      <c r="E7" s="3" t="s">
        <v>16</v>
      </c>
      <c r="F7" s="4"/>
    </row>
    <row r="8" spans="1:8" ht="30.75" customHeight="1" x14ac:dyDescent="0.2">
      <c r="A8" s="6">
        <f t="shared" si="0"/>
        <v>-1048000</v>
      </c>
      <c r="B8" s="6">
        <v>362000</v>
      </c>
      <c r="C8" s="6"/>
      <c r="D8" s="6" t="s">
        <v>18</v>
      </c>
      <c r="E8" s="3" t="s">
        <v>17</v>
      </c>
      <c r="F8" s="4"/>
    </row>
    <row r="9" spans="1:8" ht="30.75" customHeight="1" x14ac:dyDescent="0.2">
      <c r="A9" s="6">
        <f t="shared" si="0"/>
        <v>-768000</v>
      </c>
      <c r="B9" s="6">
        <v>280000</v>
      </c>
      <c r="C9" s="6"/>
      <c r="D9" s="6" t="s">
        <v>13</v>
      </c>
      <c r="E9" s="3" t="s">
        <v>19</v>
      </c>
      <c r="F9" s="4"/>
    </row>
    <row r="10" spans="1:8" ht="30.75" customHeight="1" x14ac:dyDescent="0.2">
      <c r="A10" s="6">
        <f t="shared" si="0"/>
        <v>-38000</v>
      </c>
      <c r="B10" s="6">
        <v>730000</v>
      </c>
      <c r="C10" s="6"/>
      <c r="D10" s="6" t="s">
        <v>21</v>
      </c>
      <c r="E10" s="3" t="s">
        <v>20</v>
      </c>
      <c r="F10" s="4"/>
    </row>
    <row r="11" spans="1:8" ht="30.75" customHeight="1" x14ac:dyDescent="0.2">
      <c r="A11" s="6">
        <f t="shared" si="0"/>
        <v>-1048000</v>
      </c>
      <c r="B11" s="6"/>
      <c r="C11" s="6">
        <v>1010000</v>
      </c>
      <c r="D11" s="6" t="s">
        <v>23</v>
      </c>
      <c r="E11" s="3" t="s">
        <v>22</v>
      </c>
      <c r="F11" s="4"/>
    </row>
    <row r="12" spans="1:8" ht="30.75" customHeight="1" x14ac:dyDescent="0.2">
      <c r="A12" s="6">
        <f t="shared" si="0"/>
        <v>-148000</v>
      </c>
      <c r="B12" s="6">
        <v>900000</v>
      </c>
      <c r="C12" s="6"/>
      <c r="D12" s="6" t="s">
        <v>24</v>
      </c>
      <c r="E12" s="3"/>
      <c r="F12" s="4"/>
    </row>
    <row r="13" spans="1:8" ht="30.75" customHeight="1" x14ac:dyDescent="0.2">
      <c r="A13" s="6">
        <f t="shared" si="0"/>
        <v>-88000</v>
      </c>
      <c r="B13" s="6">
        <v>60000</v>
      </c>
      <c r="C13" s="6"/>
      <c r="D13" s="6"/>
      <c r="E13" s="3"/>
      <c r="F13" s="4"/>
    </row>
    <row r="14" spans="1:8" ht="30.75" customHeight="1" x14ac:dyDescent="0.2">
      <c r="A14" s="6">
        <f t="shared" si="0"/>
        <v>742000</v>
      </c>
      <c r="B14" s="6">
        <v>830000</v>
      </c>
      <c r="C14" s="6"/>
      <c r="D14" s="6" t="s">
        <v>26</v>
      </c>
      <c r="E14" s="3" t="s">
        <v>25</v>
      </c>
      <c r="F14" s="4"/>
    </row>
    <row r="15" spans="1:8" ht="30.75" customHeight="1" x14ac:dyDescent="0.2">
      <c r="A15" s="6">
        <f t="shared" si="0"/>
        <v>0</v>
      </c>
      <c r="B15" s="6"/>
      <c r="C15" s="6">
        <v>742000</v>
      </c>
      <c r="D15" s="6" t="s">
        <v>28</v>
      </c>
      <c r="E15" s="3" t="s">
        <v>27</v>
      </c>
      <c r="F15" s="4"/>
    </row>
    <row r="16" spans="1:8" ht="30.75" customHeight="1" x14ac:dyDescent="0.2">
      <c r="A16" s="6">
        <f t="shared" si="0"/>
        <v>10450000</v>
      </c>
      <c r="B16" s="6">
        <v>10450000</v>
      </c>
      <c r="C16" s="6"/>
      <c r="D16" s="6" t="s">
        <v>30</v>
      </c>
      <c r="E16" s="3" t="s">
        <v>29</v>
      </c>
      <c r="F16" s="4"/>
    </row>
    <row r="17" spans="1:6" ht="30.75" customHeight="1" x14ac:dyDescent="0.2">
      <c r="A17" s="6">
        <f t="shared" si="0"/>
        <v>10450000</v>
      </c>
      <c r="B17" s="6"/>
      <c r="C17" s="6"/>
      <c r="D17" s="6"/>
      <c r="E17" s="3"/>
      <c r="F17" s="4"/>
    </row>
    <row r="18" spans="1:6" ht="30.75" customHeight="1" x14ac:dyDescent="0.2">
      <c r="A18" s="6">
        <f t="shared" si="0"/>
        <v>10450000</v>
      </c>
      <c r="B18" s="6"/>
      <c r="C18" s="6"/>
      <c r="D18" s="6"/>
      <c r="E18" s="3"/>
      <c r="F18" s="4"/>
    </row>
    <row r="19" spans="1:6" ht="30.75" customHeight="1" x14ac:dyDescent="0.2">
      <c r="A19" s="6">
        <f t="shared" si="0"/>
        <v>10450000</v>
      </c>
      <c r="B19" s="6"/>
      <c r="C19" s="6"/>
      <c r="D19" s="6"/>
      <c r="E19" s="3"/>
      <c r="F19" s="4"/>
    </row>
    <row r="20" spans="1:6" ht="30.75" customHeight="1" x14ac:dyDescent="0.2">
      <c r="A20" s="6">
        <f t="shared" si="0"/>
        <v>10450000</v>
      </c>
      <c r="B20" s="6"/>
      <c r="C20" s="6"/>
      <c r="D20" s="6"/>
      <c r="E20" s="3"/>
      <c r="F20" s="4"/>
    </row>
    <row r="21" spans="1:6" ht="30.75" customHeight="1" x14ac:dyDescent="0.2">
      <c r="A21" s="6">
        <f t="shared" si="0"/>
        <v>10450000</v>
      </c>
      <c r="B21" s="6"/>
      <c r="C21" s="6"/>
      <c r="D21" s="6"/>
      <c r="E21" s="3"/>
      <c r="F21" s="4"/>
    </row>
    <row r="22" spans="1:6" ht="30.75" customHeight="1" x14ac:dyDescent="0.2">
      <c r="A22" s="7"/>
      <c r="B22" s="7">
        <f>SUM(B3:B21)</f>
        <v>14222000</v>
      </c>
      <c r="C22" s="7">
        <f>SUM(C3:C21)</f>
        <v>3772000</v>
      </c>
      <c r="D22" s="7"/>
      <c r="E22" s="5"/>
      <c r="F22" s="4"/>
    </row>
    <row r="23" spans="1:6" ht="30.75" customHeight="1" x14ac:dyDescent="0.2">
      <c r="A23" s="10">
        <f>A21</f>
        <v>10450000</v>
      </c>
      <c r="B23" s="10"/>
      <c r="C23" s="9" t="s">
        <v>6</v>
      </c>
      <c r="D23" s="9"/>
      <c r="E23" s="4"/>
      <c r="F23" s="4"/>
    </row>
    <row r="24" spans="1:6" ht="30.75" customHeight="1" x14ac:dyDescent="0.2">
      <c r="A24" s="8"/>
      <c r="B24" s="8" t="s">
        <v>8</v>
      </c>
      <c r="C24" s="8"/>
      <c r="D24" s="8" t="s">
        <v>7</v>
      </c>
      <c r="E24" s="4"/>
      <c r="F24" s="4"/>
    </row>
    <row r="25" spans="1:6" ht="30.75" customHeight="1" x14ac:dyDescent="0.2"/>
    <row r="26" spans="1:6" ht="30.75" customHeight="1" x14ac:dyDescent="0.2"/>
    <row r="27" spans="1:6" ht="30.75" customHeight="1" x14ac:dyDescent="0.2"/>
    <row r="28" spans="1:6" ht="30.75" customHeight="1" x14ac:dyDescent="0.2"/>
    <row r="29" spans="1:6" ht="30.75" customHeight="1" x14ac:dyDescent="0.2"/>
    <row r="30" spans="1:6" ht="30.75" customHeight="1" x14ac:dyDescent="0.2"/>
    <row r="31" spans="1:6" ht="30.75" customHeight="1" x14ac:dyDescent="0.2"/>
    <row r="32" spans="1:6" ht="30.75" customHeight="1" x14ac:dyDescent="0.2"/>
    <row r="33" ht="30.75" customHeight="1" x14ac:dyDescent="0.2"/>
    <row r="34" ht="30.75" customHeight="1" x14ac:dyDescent="0.2"/>
    <row r="35" ht="30.75" customHeight="1" x14ac:dyDescent="0.2"/>
    <row r="36" ht="30.75" customHeight="1" x14ac:dyDescent="0.2"/>
    <row r="37" ht="30.75" customHeight="1" x14ac:dyDescent="0.2"/>
    <row r="38" ht="30.75" customHeight="1" x14ac:dyDescent="0.2"/>
    <row r="39" ht="30.75" customHeight="1" x14ac:dyDescent="0.2"/>
    <row r="40" ht="30.75" customHeight="1" x14ac:dyDescent="0.2"/>
  </sheetData>
  <mergeCells count="2">
    <mergeCell ref="C23:D23"/>
    <mergeCell ref="A23:B23"/>
  </mergeCells>
  <conditionalFormatting sqref="A23:B23">
    <cfRule type="cellIs" dxfId="1" priority="2" operator="lessThanOrEqual">
      <formula>0</formula>
    </cfRule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2026-06-30T13:57:19Z</dcterms:modified>
</cp:coreProperties>
</file>