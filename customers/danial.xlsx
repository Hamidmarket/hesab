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C121" i="1"/>
  <c r="B121" i="1"/>
  <c r="A102" i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2" i="1" s="1"/>
  <c r="C96" i="1" l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<sst xmlns="http://schemas.openxmlformats.org/spreadsheetml/2006/main" count="197" uniqueCount="109">
  <si>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</si>
  <si>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</si>
  <si>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</si>
  <si>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</si>
  <si>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</si>
  <si>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</si>
  <si>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</si>
  <si>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</si>
  <si>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</si>
  <si>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</si>
  <si>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</si>
  <si>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</si>
  <si>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</si>
  <si>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</si>
  <si>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</si>
  <si>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</si>
  <si>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</si>
  <si>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</si>
  <si>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</si>
  <si>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</si>
  <si>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</si>
  <si>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</si>
  <si>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</si>
  <si>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</si>
  <si>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</si>
  <si>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</si>
  <si>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</si>
  <si>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</si>
  <si>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</si>
  <si>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</si>
  <si>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</si>
  <si>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</si>
  <si>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</si>
  <si>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</si>
  <si>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</si>
  <si>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</si>
  <si>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</si>
  <si>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</si>
  <si>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</si>
  <si>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</si>
  <si>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</si>
  <si>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</si>
  <si>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</si>
  <si>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</si>
  <si>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</si>
  <si>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</si>
  <si>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</si>
  <si>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</si>
  <si>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</si>
  <si>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</si>
  <si>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</si>
  <si>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</si>
  <si>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</si>
  <si>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</si>
  <si>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</si>
  <si>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</si>
  <si>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</si>
  <si>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</si>
  <si>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</si>
  <si>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</si>
  <si>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</si>
  <si>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</si>
  <si>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</si>
  <si>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</si>
  <si>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</si>
  <si>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</si>
  <si>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</si>
  <si>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</si>
  <si>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</si>
  <si>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</si>
  <si>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</si>
  <si>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</si>
  <si>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</si>
  <si>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</si>
  <si>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</si>
  <si>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</si>
  <si>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</si>
  <si>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</si>
  <si>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</si>
  <si>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</si>
  <si>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</si>
  <si>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</si>
  <si>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</si>
  <si>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</si>
  <si>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</si>
  <si>
    <t>1405/05/13</t>
  </si>
  <si>
    <t>گول بازی مزه باغ دامو</t>
  </si>
  <si>
    <t>1405/05/26</t>
  </si>
  <si>
    <t>1405/06/01</t>
  </si>
  <si>
    <t>مزه</t>
  </si>
  <si>
    <t>1405/06/02</t>
  </si>
  <si>
    <t>1405/06/09</t>
  </si>
  <si>
    <t>مزه پل دوآب</t>
  </si>
  <si>
    <t>1405/06/13</t>
  </si>
  <si>
    <t>1405/06/18</t>
  </si>
  <si>
    <t>1405/06/21</t>
  </si>
  <si>
    <t>دنگ سس</t>
  </si>
  <si>
    <t>1405/07/02</t>
  </si>
  <si>
    <t>1405/07/10</t>
  </si>
  <si>
    <t>1405/07/12</t>
  </si>
  <si>
    <t>1405/07/17</t>
  </si>
  <si>
    <t>1405/07/23</t>
  </si>
  <si>
    <t>دنگ مزه پل دوآب</t>
  </si>
  <si>
    <t>1405/07/25</t>
  </si>
  <si>
    <t>1405/07/29</t>
  </si>
  <si>
    <t>1405/07/30</t>
  </si>
  <si>
    <t>1405/08/04</t>
  </si>
  <si>
    <t>1405/08/07</t>
  </si>
  <si>
    <t>دنگ ودکا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</si>
</sst>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26"/>
  <sheetViews>
    <sheetView tabSelected="1" topLeftCell="A98" workbookViewId="0">
      <selection activeCell="B103" sqref="B103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A122</f>
        <v>2363000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2153000</v>
      </c>
      <c r="B79" s="6">
        <v>259000</v>
      </c>
      <c r="C79" s="6"/>
      <c r="D79" s="6" t="s">
        <v>86</v>
      </c>
      <c r="E79" s="3" t="s">
        <v>85</v>
      </c>
    </row>
    <row r="80" spans="1:5" ht="30" customHeight="1" x14ac:dyDescent="0.2">
      <c r="A80" s="6">
        <f t="shared" si="3"/>
        <v>2315000</v>
      </c>
      <c r="B80" s="6">
        <v>162000</v>
      </c>
      <c r="C80" s="6"/>
      <c r="D80" s="6" t="s">
        <v>43</v>
      </c>
      <c r="E80" s="3" t="s">
        <v>87</v>
      </c>
    </row>
    <row r="81" spans="1:5" ht="30" customHeight="1" x14ac:dyDescent="0.2">
      <c r="A81" s="6">
        <f t="shared" si="3"/>
        <v>2386000</v>
      </c>
      <c r="B81" s="6">
        <v>71000</v>
      </c>
      <c r="C81" s="6"/>
      <c r="D81" s="6" t="s">
        <v>89</v>
      </c>
      <c r="E81" s="3" t="s">
        <v>88</v>
      </c>
    </row>
    <row r="82" spans="1:5" ht="30" customHeight="1" x14ac:dyDescent="0.2">
      <c r="A82" s="6">
        <f t="shared" si="3"/>
        <v>2575000</v>
      </c>
      <c r="B82" s="6">
        <v>189000</v>
      </c>
      <c r="C82" s="6"/>
      <c r="D82" s="6" t="s">
        <v>43</v>
      </c>
      <c r="E82" s="3" t="s">
        <v>90</v>
      </c>
    </row>
    <row r="83" spans="1:5" ht="30" customHeight="1" x14ac:dyDescent="0.2">
      <c r="A83" s="6">
        <f t="shared" si="3"/>
        <v>2745000</v>
      </c>
      <c r="B83" s="6">
        <v>170000</v>
      </c>
      <c r="C83" s="6"/>
      <c r="D83" s="6" t="s">
        <v>92</v>
      </c>
      <c r="E83" s="3" t="s">
        <v>91</v>
      </c>
    </row>
    <row r="84" spans="1:5" ht="30" customHeight="1" x14ac:dyDescent="0.2">
      <c r="A84" s="6">
        <f t="shared" si="3"/>
        <v>2900000</v>
      </c>
      <c r="B84" s="6">
        <v>155000</v>
      </c>
      <c r="C84" s="6"/>
      <c r="D84" s="6" t="s">
        <v>43</v>
      </c>
      <c r="E84" s="3" t="s">
        <v>93</v>
      </c>
    </row>
    <row r="85" spans="1:5" ht="30" customHeight="1" x14ac:dyDescent="0.2">
      <c r="A85" s="6">
        <f t="shared" si="3"/>
        <v>3087000</v>
      </c>
      <c r="B85" s="6">
        <v>187000</v>
      </c>
      <c r="C85" s="6"/>
      <c r="D85" s="6" t="s">
        <v>43</v>
      </c>
      <c r="E85" s="3" t="s">
        <v>94</v>
      </c>
    </row>
    <row r="86" spans="1:5" ht="30" customHeight="1" x14ac:dyDescent="0.2">
      <c r="A86" s="6">
        <f t="shared" si="3"/>
        <v>3183000</v>
      </c>
      <c r="B86" s="6">
        <v>96000</v>
      </c>
      <c r="C86" s="6"/>
      <c r="D86" s="6" t="s">
        <v>96</v>
      </c>
      <c r="E86" s="3" t="s">
        <v>95</v>
      </c>
    </row>
    <row r="87" spans="1:5" ht="30" customHeight="1" x14ac:dyDescent="0.2">
      <c r="A87" s="6">
        <f t="shared" si="3"/>
        <v>3408000</v>
      </c>
      <c r="B87" s="6">
        <v>225000</v>
      </c>
      <c r="C87" s="6"/>
      <c r="D87" s="6" t="s">
        <v>43</v>
      </c>
      <c r="E87" s="3" t="s">
        <v>97</v>
      </c>
    </row>
    <row r="88" spans="1:5" ht="30" customHeight="1" x14ac:dyDescent="0.2">
      <c r="A88" s="6">
        <f t="shared" si="3"/>
        <v>3608000</v>
      </c>
      <c r="B88" s="6">
        <v>200000</v>
      </c>
      <c r="C88" s="6"/>
      <c r="D88" s="6" t="s">
        <v>43</v>
      </c>
      <c r="E88" s="3" t="s">
        <v>98</v>
      </c>
    </row>
    <row r="89" spans="1:5" ht="30" customHeight="1" x14ac:dyDescent="0.2">
      <c r="A89" s="6">
        <f t="shared" si="3"/>
        <v>2608000</v>
      </c>
      <c r="B89" s="6"/>
      <c r="C89" s="6">
        <v>1000000</v>
      </c>
      <c r="D89" s="6" t="s">
        <v>16</v>
      </c>
      <c r="E89" s="3" t="s">
        <v>99</v>
      </c>
    </row>
    <row r="90" spans="1:5" ht="30" customHeight="1" x14ac:dyDescent="0.2">
      <c r="A90" s="6">
        <f t="shared" si="3"/>
        <v>2833000</v>
      </c>
      <c r="B90" s="6">
        <v>225000</v>
      </c>
      <c r="C90" s="6"/>
      <c r="D90" s="6" t="s">
        <v>43</v>
      </c>
      <c r="E90" s="3" t="s">
        <v>100</v>
      </c>
    </row>
    <row r="91" spans="1:5" ht="30" customHeight="1" x14ac:dyDescent="0.2">
      <c r="A91" s="6">
        <f t="shared" si="3"/>
        <v>3022000</v>
      </c>
      <c r="B91" s="6">
        <v>189000</v>
      </c>
      <c r="C91" s="6"/>
      <c r="D91" s="6" t="s">
        <v>102</v>
      </c>
      <c r="E91" s="3" t="s">
        <v>101</v>
      </c>
    </row>
    <row r="92" spans="1:5" ht="30" customHeight="1" x14ac:dyDescent="0.2">
      <c r="A92" s="6">
        <f t="shared" si="3"/>
        <v>2833000</v>
      </c>
      <c r="B92" s="6"/>
      <c r="C92" s="6">
        <v>189000</v>
      </c>
      <c r="D92" s="6" t="s">
        <v>16</v>
      </c>
      <c r="E92" s="3" t="s">
        <v>103</v>
      </c>
    </row>
    <row r="93" spans="1:5" ht="30" customHeight="1" x14ac:dyDescent="0.2">
      <c r="A93" s="6">
        <f t="shared" si="3"/>
        <v>3103000</v>
      </c>
      <c r="B93" s="6">
        <v>270000</v>
      </c>
      <c r="C93" s="6"/>
      <c r="D93" s="6" t="s">
        <v>43</v>
      </c>
      <c r="E93" s="3" t="s">
        <v>104</v>
      </c>
    </row>
    <row r="94" spans="1:5" ht="30" customHeight="1" x14ac:dyDescent="0.2">
      <c r="A94" s="6">
        <f t="shared" si="3"/>
        <v>2103000</v>
      </c>
      <c r="B94" s="6"/>
      <c r="C94" s="6">
        <v>1000000</v>
      </c>
      <c r="D94" s="6" t="s">
        <v>16</v>
      </c>
      <c r="E94" s="3" t="s">
        <v>105</v>
      </c>
    </row>
    <row r="95" spans="1:5" ht="30" customHeight="1" x14ac:dyDescent="0.2">
      <c r="A95" s="6">
        <f t="shared" si="3"/>
        <v>2238000</v>
      </c>
      <c r="B95" s="6">
        <v>135000</v>
      </c>
      <c r="C95" s="6"/>
      <c r="D95" s="6" t="s">
        <v>43</v>
      </c>
      <c r="E95" s="3" t="s">
        <v>106</v>
      </c>
    </row>
    <row r="96" spans="1:5" ht="30" customHeight="1" x14ac:dyDescent="0.2">
      <c r="A96" s="7"/>
      <c r="B96" s="7">
        <f>SUM(B77:B95)+B71</f>
        <v>8345000</v>
      </c>
      <c r="C96" s="7">
        <f>SUM(C77:C95)+C71</f>
        <v>6107000</v>
      </c>
      <c r="D96" s="7"/>
      <c r="E96" s="5"/>
    </row>
    <row r="97" spans="1:5" ht="30" customHeight="1" x14ac:dyDescent="0.2">
      <c r="A97" s="10">
        <f>A95</f>
        <v>2238000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5">
      <c r="A100" t="s">
        <v>9</v>
      </c>
      <c r="B100" s="1" t="s">
        <v>0</v>
      </c>
    </row>
    <row r="101" spans="1:5" ht="30" customHeight="1" x14ac:dyDescent="0.3">
      <c r="A101" s="2" t="s">
        <v>5</v>
      </c>
      <c r="B101" s="2" t="s">
        <v>3</v>
      </c>
      <c r="C101" s="2" t="s">
        <v>4</v>
      </c>
      <c r="D101" s="2" t="s">
        <v>2</v>
      </c>
      <c r="E101" s="2" t="s">
        <v>1</v>
      </c>
    </row>
    <row r="102" spans="1:5" ht="30" customHeight="1" x14ac:dyDescent="0.2">
      <c r="A102" s="6">
        <f>B102-C102+A97</f>
        <v>2363000</v>
      </c>
      <c r="B102" s="6">
        <v>125000</v>
      </c>
      <c r="C102" s="6"/>
      <c r="D102" s="6" t="s">
        <v>108</v>
      </c>
      <c r="E102" s="3" t="s">
        <v>107</v>
      </c>
    </row>
    <row r="103" spans="1:5" ht="30" customHeight="1" x14ac:dyDescent="0.2">
      <c r="A103" s="6">
        <f>A102+B103-C103</f>
        <v>2363000</v>
      </c>
      <c r="B103" s="6"/>
      <c r="C103" s="6"/>
      <c r="D103" s="6"/>
      <c r="E103" s="3"/>
    </row>
    <row r="104" spans="1:5" ht="30" customHeight="1" x14ac:dyDescent="0.2">
      <c r="A104" s="6">
        <f t="shared" ref="A104:A120" si="4">A103+B104-C104</f>
        <v>2363000</v>
      </c>
      <c r="B104" s="6"/>
      <c r="C104" s="6"/>
      <c r="D104" s="6"/>
      <c r="E104" s="3"/>
    </row>
    <row r="105" spans="1:5" ht="30" customHeight="1" x14ac:dyDescent="0.2">
      <c r="A105" s="6">
        <f t="shared" si="4"/>
        <v>2363000</v>
      </c>
      <c r="B105" s="6"/>
      <c r="C105" s="6"/>
      <c r="D105" s="6"/>
      <c r="E105" s="3"/>
    </row>
    <row r="106" spans="1:5" ht="30" customHeight="1" x14ac:dyDescent="0.2">
      <c r="A106" s="6">
        <f t="shared" si="4"/>
        <v>2363000</v>
      </c>
      <c r="B106" s="6"/>
      <c r="C106" s="6"/>
      <c r="D106" s="6"/>
      <c r="E106" s="3"/>
    </row>
    <row r="107" spans="1:5" ht="30" customHeight="1" x14ac:dyDescent="0.2">
      <c r="A107" s="6">
        <f t="shared" si="4"/>
        <v>2363000</v>
      </c>
      <c r="B107" s="6"/>
      <c r="C107" s="6"/>
      <c r="D107" s="6"/>
      <c r="E107" s="3"/>
    </row>
    <row r="108" spans="1:5" ht="30" customHeight="1" x14ac:dyDescent="0.2">
      <c r="A108" s="6">
        <f t="shared" si="4"/>
        <v>2363000</v>
      </c>
      <c r="B108" s="6"/>
      <c r="C108" s="6"/>
      <c r="D108" s="6"/>
      <c r="E108" s="3"/>
    </row>
    <row r="109" spans="1:5" ht="30" customHeight="1" x14ac:dyDescent="0.2">
      <c r="A109" s="6">
        <f t="shared" si="4"/>
        <v>2363000</v>
      </c>
      <c r="B109" s="6"/>
      <c r="C109" s="6"/>
      <c r="D109" s="6"/>
      <c r="E109" s="3"/>
    </row>
    <row r="110" spans="1:5" ht="30" customHeight="1" x14ac:dyDescent="0.2">
      <c r="A110" s="6">
        <f t="shared" si="4"/>
        <v>2363000</v>
      </c>
      <c r="B110" s="6"/>
      <c r="C110" s="6"/>
      <c r="D110" s="6"/>
      <c r="E110" s="3"/>
    </row>
    <row r="111" spans="1:5" ht="30" customHeight="1" x14ac:dyDescent="0.2">
      <c r="A111" s="6">
        <f t="shared" si="4"/>
        <v>2363000</v>
      </c>
      <c r="B111" s="6"/>
      <c r="C111" s="6"/>
      <c r="D111" s="6"/>
      <c r="E111" s="3"/>
    </row>
    <row r="112" spans="1:5" ht="30" customHeight="1" x14ac:dyDescent="0.2">
      <c r="A112" s="6">
        <f t="shared" si="4"/>
        <v>2363000</v>
      </c>
      <c r="B112" s="6"/>
      <c r="C112" s="6"/>
      <c r="D112" s="6"/>
      <c r="E112" s="3"/>
    </row>
    <row r="113" spans="1:5" ht="30" customHeight="1" x14ac:dyDescent="0.2">
      <c r="A113" s="6">
        <f t="shared" si="4"/>
        <v>2363000</v>
      </c>
      <c r="B113" s="6"/>
      <c r="C113" s="6"/>
      <c r="D113" s="6"/>
      <c r="E113" s="3"/>
    </row>
    <row r="114" spans="1:5" ht="30" customHeight="1" x14ac:dyDescent="0.2">
      <c r="A114" s="6">
        <f t="shared" si="4"/>
        <v>2363000</v>
      </c>
      <c r="B114" s="6"/>
      <c r="C114" s="6"/>
      <c r="D114" s="6"/>
      <c r="E114" s="3"/>
    </row>
    <row r="115" spans="1:5" ht="30" customHeight="1" x14ac:dyDescent="0.2">
      <c r="A115" s="6">
        <f t="shared" si="4"/>
        <v>2363000</v>
      </c>
      <c r="B115" s="6"/>
      <c r="C115" s="6"/>
      <c r="D115" s="6"/>
      <c r="E115" s="3"/>
    </row>
    <row r="116" spans="1:5" ht="30" customHeight="1" x14ac:dyDescent="0.2">
      <c r="A116" s="6">
        <f t="shared" si="4"/>
        <v>2363000</v>
      </c>
      <c r="B116" s="6"/>
      <c r="C116" s="6"/>
      <c r="D116" s="6"/>
      <c r="E116" s="3"/>
    </row>
    <row r="117" spans="1:5" ht="30" customHeight="1" x14ac:dyDescent="0.2">
      <c r="A117" s="6">
        <f t="shared" si="4"/>
        <v>2363000</v>
      </c>
      <c r="B117" s="6"/>
      <c r="C117" s="6"/>
      <c r="D117" s="6"/>
      <c r="E117" s="3"/>
    </row>
    <row r="118" spans="1:5" ht="30" customHeight="1" x14ac:dyDescent="0.2">
      <c r="A118" s="6">
        <f t="shared" si="4"/>
        <v>2363000</v>
      </c>
      <c r="B118" s="6"/>
      <c r="C118" s="6"/>
      <c r="D118" s="6"/>
      <c r="E118" s="3"/>
    </row>
    <row r="119" spans="1:5" ht="30" customHeight="1" x14ac:dyDescent="0.2">
      <c r="A119" s="6">
        <f t="shared" si="4"/>
        <v>2363000</v>
      </c>
      <c r="B119" s="6"/>
      <c r="C119" s="6"/>
      <c r="D119" s="6"/>
      <c r="E119" s="3"/>
    </row>
    <row r="120" spans="1:5" ht="30" customHeight="1" x14ac:dyDescent="0.2">
      <c r="A120" s="6">
        <f t="shared" si="4"/>
        <v>2363000</v>
      </c>
      <c r="B120" s="6"/>
      <c r="C120" s="6"/>
      <c r="D120" s="6"/>
      <c r="E120" s="3"/>
    </row>
    <row r="121" spans="1:5" ht="30" customHeight="1" x14ac:dyDescent="0.2">
      <c r="A121" s="7"/>
      <c r="B121" s="7">
        <f>SUM(B102:B120)+B96</f>
        <v>8470000</v>
      </c>
      <c r="C121" s="7">
        <f>SUM(C102:C120)+C96</f>
        <v>6107000</v>
      </c>
      <c r="D121" s="7"/>
      <c r="E121" s="5"/>
    </row>
    <row r="122" spans="1:5" ht="30" customHeight="1" x14ac:dyDescent="0.2">
      <c r="A122" s="10">
        <f>A120</f>
        <v>2363000</v>
      </c>
      <c r="B122" s="10"/>
      <c r="C122" s="11" t="s">
        <v>6</v>
      </c>
      <c r="D122" s="11"/>
      <c r="E122" s="4"/>
    </row>
    <row r="123" spans="1:5" ht="30" customHeight="1" x14ac:dyDescent="0.2">
      <c r="A123" s="8"/>
      <c r="B123" s="8" t="s">
        <v>8</v>
      </c>
      <c r="C123" s="8"/>
      <c r="D123" s="8" t="s">
        <v>7</v>
      </c>
      <c r="E123" s="4"/>
    </row>
    <row r="124" spans="1:5" ht="30" customHeight="1" x14ac:dyDescent="0.2"/>
    <row r="125" spans="1:5" ht="30" customHeight="1" x14ac:dyDescent="0.2"/>
    <row r="126" spans="1:5" ht="30" customHeight="1" x14ac:dyDescent="0.2"/>
  </sheetData>
  <mergeCells count="10">
    <mergeCell ref="A122:B122"/>
    <mergeCell ref="C122:D122"/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9" priority="10" operator="lessThanOrEqual">
      <formula>0</formula>
    </cfRule>
    <cfRule type="cellIs" dxfId="8" priority="9" operator="greaterThan">
      <formula>0</formula>
    </cfRule>
  </conditionalFormatting>
  <conditionalFormatting sqref="A47:B47">
    <cfRule type="cellIs" dxfId="7" priority="7" operator="greaterThan">
      <formula>0</formula>
    </cfRule>
    <cfRule type="cellIs" dxfId="6" priority="8" operator="lessThanOrEqual">
      <formula>0</formula>
    </cfRule>
  </conditionalFormatting>
  <conditionalFormatting sqref="A72:B72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97:B97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122:B122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2026-10-29T17:57:43Z</dcterms:modified>
</cp:coreProperties>
</file>