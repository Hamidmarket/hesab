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C96" i="1"/>
  <c r="B96" i="1"/>
  <c r="A78" i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7" i="1" s="1"/>
  <c r="A77" i="1"/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<sst xmlns="http://schemas.openxmlformats.org/spreadsheetml/2006/main" count="155" uniqueCount="88">
  <si>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</si>
  <si>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</si>
  <si>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</si>
  <si>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</si>
  <si>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</si>
  <si>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</si>
  <si>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</si>
  <si>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</si>
  <si>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</si>
  <si>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</si>
  <si>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</si>
  <si>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</si>
  <si>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</si>
  <si>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</si>
  <si>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</si>
  <si>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</si>
  <si>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</si>
  <si>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</si>
  <si>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</si>
  <si>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</si>
  <si>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</si>
  <si>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</si>
  <si>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</si>
  <si>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</si>
  <si>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</si>
  <si>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</si>
  <si>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</si>
  <si>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</si>
  <si>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</si>
  <si>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</si>
  <si>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</si>
  <si>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</si>
  <si>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</si>
  <si>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</si>
  <si>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</si>
  <si>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</si>
  <si>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</si>
  <si>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</si>
  <si>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</si>
  <si>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</si>
  <si>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</si>
  <si>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</si>
  <si>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</si>
  <si>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</si>
  <si>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</si>
  <si>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</si>
  <si>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</si>
  <si>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</si>
  <si>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</si>
  <si>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</si>
  <si>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</si>
  <si>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</si>
  <si>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</si>
  <si>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</si>
  <si>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</si>
  <si>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</si>
  <si>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</si>
  <si>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</si>
  <si>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</si>
  <si>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</si>
  <si>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</si>
  <si>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</si>
  <si>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</si>
  <si>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</si>
  <si>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</si>
  <si>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</si>
  <si>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</si>
  <si>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</si>
  <si>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</si>
  <si>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</si>
  <si>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</si>
  <si>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</si>
  <si>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</si>
  <si>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</si>
  <si>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</si>
  <si>
    <t>1405/04/15</t>
  </si>
  <si>
    <t>وج</t>
  </si>
  <si>
    <t>1405/04/17</t>
  </si>
  <si>
    <t>1405/04/19</t>
  </si>
  <si>
    <t>کیک رضا</t>
  </si>
  <si>
    <t>ساندویچ باغ ممد جواد</t>
  </si>
  <si>
    <t>1405/04/27</t>
  </si>
  <si>
    <t>گوب</t>
  </si>
  <si>
    <t>1405/05/09</t>
  </si>
  <si>
    <t>1405/05/11</t>
  </si>
  <si>
    <t>1405/05/13</t>
  </si>
  <si>
    <t>گول بازی مزه باغ دامو</t>
  </si>
  <si>
    <t>1405/05/23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</si>
</sst>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2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6"/>
  <sheetViews>
    <sheetView tabSelected="1" topLeftCell="A74" workbookViewId="0">
      <selection activeCell="B81" sqref="B81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A97</f>
        <v>2315000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0">
        <f>A21</f>
        <v>555000</v>
      </c>
      <c r="B23" s="10"/>
      <c r="C23" s="11" t="s">
        <v>6</v>
      </c>
      <c r="D23" s="11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0">
        <f>A45</f>
        <v>653000</v>
      </c>
      <c r="B47" s="10"/>
      <c r="C47" s="11" t="s">
        <v>6</v>
      </c>
      <c r="D47" s="11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585000</v>
      </c>
      <c r="B65" s="6"/>
      <c r="C65" s="6">
        <v>500000</v>
      </c>
      <c r="D65" s="6" t="s">
        <v>76</v>
      </c>
      <c r="E65" s="3" t="s">
        <v>75</v>
      </c>
    </row>
    <row r="66" spans="1:5" ht="30" customHeight="1" x14ac:dyDescent="0.2">
      <c r="A66" s="6">
        <f t="shared" si="2"/>
        <v>697000</v>
      </c>
      <c r="B66" s="6">
        <v>112000</v>
      </c>
      <c r="C66" s="6"/>
      <c r="D66" s="6" t="s">
        <v>43</v>
      </c>
      <c r="E66" s="3" t="s">
        <v>77</v>
      </c>
    </row>
    <row r="67" spans="1:5" ht="30" customHeight="1" x14ac:dyDescent="0.2">
      <c r="A67" s="6">
        <f t="shared" si="2"/>
        <v>799000</v>
      </c>
      <c r="B67" s="6">
        <v>102000</v>
      </c>
      <c r="C67" s="6"/>
      <c r="D67" s="6" t="s">
        <v>43</v>
      </c>
      <c r="E67" s="3" t="s">
        <v>78</v>
      </c>
    </row>
    <row r="68" spans="1:5" ht="30" customHeight="1" x14ac:dyDescent="0.2">
      <c r="A68" s="6">
        <f t="shared" si="2"/>
        <v>884000</v>
      </c>
      <c r="B68" s="6">
        <v>85000</v>
      </c>
      <c r="C68" s="6"/>
      <c r="D68" s="6" t="s">
        <v>79</v>
      </c>
      <c r="E68" s="3"/>
    </row>
    <row r="69" spans="1:5" ht="30" customHeight="1" x14ac:dyDescent="0.2">
      <c r="A69" s="6">
        <f t="shared" si="2"/>
        <v>1030000</v>
      </c>
      <c r="B69" s="6">
        <v>146000</v>
      </c>
      <c r="C69" s="6"/>
      <c r="D69" s="6" t="s">
        <v>80</v>
      </c>
      <c r="E69" s="3"/>
    </row>
    <row r="70" spans="1:5" ht="30" customHeight="1" x14ac:dyDescent="0.2">
      <c r="A70" s="6">
        <f t="shared" si="2"/>
        <v>1192000</v>
      </c>
      <c r="B70" s="6">
        <v>162000</v>
      </c>
      <c r="C70" s="6"/>
      <c r="D70" s="6" t="s">
        <v>82</v>
      </c>
      <c r="E70" s="3" t="s">
        <v>81</v>
      </c>
    </row>
    <row r="71" spans="1:5" ht="30" customHeight="1" x14ac:dyDescent="0.2">
      <c r="A71" s="7"/>
      <c r="B71" s="7">
        <f>SUM(B52:B70)+B46</f>
        <v>5110000</v>
      </c>
      <c r="C71" s="7">
        <f>SUM(C52:C70)+C46</f>
        <v>3918000</v>
      </c>
      <c r="D71" s="7"/>
      <c r="E71" s="5"/>
    </row>
    <row r="72" spans="1:5" ht="30" customHeight="1" x14ac:dyDescent="0.2">
      <c r="A72" s="10">
        <f>A70</f>
        <v>1192000</v>
      </c>
      <c r="B72" s="10"/>
      <c r="C72" s="11" t="s">
        <v>6</v>
      </c>
      <c r="D72" s="11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5">
      <c r="A75" t="s">
        <v>9</v>
      </c>
      <c r="B75" s="1" t="s">
        <v>0</v>
      </c>
    </row>
    <row r="76" spans="1:5" ht="30" customHeight="1" x14ac:dyDescent="0.3">
      <c r="A76" s="2" t="s">
        <v>5</v>
      </c>
      <c r="B76" s="2" t="s">
        <v>3</v>
      </c>
      <c r="C76" s="2" t="s">
        <v>4</v>
      </c>
      <c r="D76" s="2" t="s">
        <v>2</v>
      </c>
      <c r="E76" s="2" t="s">
        <v>1</v>
      </c>
    </row>
    <row r="77" spans="1:5" ht="30" customHeight="1" x14ac:dyDescent="0.2">
      <c r="A77" s="6">
        <f>B77-C77+A72</f>
        <v>1354000</v>
      </c>
      <c r="B77" s="6">
        <v>162000</v>
      </c>
      <c r="C77" s="6"/>
      <c r="D77" s="6" t="s">
        <v>43</v>
      </c>
      <c r="E77" s="3" t="s">
        <v>83</v>
      </c>
    </row>
    <row r="78" spans="1:5" ht="30" customHeight="1" x14ac:dyDescent="0.2">
      <c r="A78" s="6">
        <f>A77+B78-C78</f>
        <v>1894000</v>
      </c>
      <c r="B78" s="6">
        <v>540000</v>
      </c>
      <c r="C78" s="6"/>
      <c r="D78" s="6" t="s">
        <v>16</v>
      </c>
      <c r="E78" s="3" t="s">
        <v>84</v>
      </c>
    </row>
    <row r="79" spans="1:5" ht="30" customHeight="1" x14ac:dyDescent="0.2">
      <c r="A79" s="6">
        <f t="shared" ref="A79:A95" si="3">A78+B79-C79</f>
        <v>2153000</v>
      </c>
      <c r="B79" s="6">
        <v>259000</v>
      </c>
      <c r="C79" s="6"/>
      <c r="D79" s="6" t="s">
        <v>86</v>
      </c>
      <c r="E79" s="3" t="s">
        <v>85</v>
      </c>
    </row>
    <row r="80" spans="1:5" ht="30" customHeight="1" x14ac:dyDescent="0.2">
      <c r="A80" s="6">
        <f t="shared" si="3"/>
        <v>2315000</v>
      </c>
      <c r="B80" s="6">
        <v>162000</v>
      </c>
      <c r="C80" s="6"/>
      <c r="D80" s="6" t="s">
        <v>43</v>
      </c>
      <c r="E80" s="3" t="s">
        <v>87</v>
      </c>
    </row>
    <row r="81" spans="1:5" ht="30" customHeight="1" x14ac:dyDescent="0.2">
      <c r="A81" s="6">
        <f t="shared" si="3"/>
        <v>2315000</v>
      </c>
      <c r="B81" s="6"/>
      <c r="C81" s="6"/>
      <c r="D81" s="6"/>
      <c r="E81" s="3"/>
    </row>
    <row r="82" spans="1:5" ht="30" customHeight="1" x14ac:dyDescent="0.2">
      <c r="A82" s="6">
        <f t="shared" si="3"/>
        <v>2315000</v>
      </c>
      <c r="B82" s="6"/>
      <c r="C82" s="6"/>
      <c r="D82" s="6"/>
      <c r="E82" s="3"/>
    </row>
    <row r="83" spans="1:5" ht="30" customHeight="1" x14ac:dyDescent="0.2">
      <c r="A83" s="6">
        <f t="shared" si="3"/>
        <v>2315000</v>
      </c>
      <c r="B83" s="6"/>
      <c r="C83" s="6"/>
      <c r="D83" s="6"/>
      <c r="E83" s="3"/>
    </row>
    <row r="84" spans="1:5" ht="30" customHeight="1" x14ac:dyDescent="0.2">
      <c r="A84" s="6">
        <f t="shared" si="3"/>
        <v>2315000</v>
      </c>
      <c r="B84" s="6"/>
      <c r="C84" s="6"/>
      <c r="D84" s="6"/>
      <c r="E84" s="3"/>
    </row>
    <row r="85" spans="1:5" ht="30" customHeight="1" x14ac:dyDescent="0.2">
      <c r="A85" s="6">
        <f t="shared" si="3"/>
        <v>2315000</v>
      </c>
      <c r="B85" s="6"/>
      <c r="C85" s="6"/>
      <c r="D85" s="6"/>
      <c r="E85" s="3"/>
    </row>
    <row r="86" spans="1:5" ht="30" customHeight="1" x14ac:dyDescent="0.2">
      <c r="A86" s="6">
        <f t="shared" si="3"/>
        <v>2315000</v>
      </c>
      <c r="B86" s="6"/>
      <c r="C86" s="6"/>
      <c r="D86" s="6"/>
      <c r="E86" s="3"/>
    </row>
    <row r="87" spans="1:5" ht="30" customHeight="1" x14ac:dyDescent="0.2">
      <c r="A87" s="6">
        <f t="shared" si="3"/>
        <v>2315000</v>
      </c>
      <c r="B87" s="6"/>
      <c r="C87" s="6"/>
      <c r="D87" s="6"/>
      <c r="E87" s="3"/>
    </row>
    <row r="88" spans="1:5" ht="30" customHeight="1" x14ac:dyDescent="0.2">
      <c r="A88" s="6">
        <f t="shared" si="3"/>
        <v>2315000</v>
      </c>
      <c r="B88" s="6"/>
      <c r="C88" s="6"/>
      <c r="D88" s="6"/>
      <c r="E88" s="3"/>
    </row>
    <row r="89" spans="1:5" ht="30" customHeight="1" x14ac:dyDescent="0.2">
      <c r="A89" s="6">
        <f t="shared" si="3"/>
        <v>2315000</v>
      </c>
      <c r="B89" s="6"/>
      <c r="C89" s="6"/>
      <c r="D89" s="6"/>
      <c r="E89" s="3"/>
    </row>
    <row r="90" spans="1:5" ht="30" customHeight="1" x14ac:dyDescent="0.2">
      <c r="A90" s="6">
        <f t="shared" si="3"/>
        <v>2315000</v>
      </c>
      <c r="B90" s="6"/>
      <c r="C90" s="6"/>
      <c r="D90" s="6"/>
      <c r="E90" s="3"/>
    </row>
    <row r="91" spans="1:5" ht="30" customHeight="1" x14ac:dyDescent="0.2">
      <c r="A91" s="6">
        <f t="shared" si="3"/>
        <v>2315000</v>
      </c>
      <c r="B91" s="6"/>
      <c r="C91" s="6"/>
      <c r="D91" s="6"/>
      <c r="E91" s="3"/>
    </row>
    <row r="92" spans="1:5" ht="30" customHeight="1" x14ac:dyDescent="0.2">
      <c r="A92" s="6">
        <f t="shared" si="3"/>
        <v>2315000</v>
      </c>
      <c r="B92" s="6"/>
      <c r="C92" s="6"/>
      <c r="D92" s="6"/>
      <c r="E92" s="3"/>
    </row>
    <row r="93" spans="1:5" ht="30" customHeight="1" x14ac:dyDescent="0.2">
      <c r="A93" s="6">
        <f t="shared" si="3"/>
        <v>2315000</v>
      </c>
      <c r="B93" s="6"/>
      <c r="C93" s="6"/>
      <c r="D93" s="6"/>
      <c r="E93" s="3"/>
    </row>
    <row r="94" spans="1:5" ht="30" customHeight="1" x14ac:dyDescent="0.2">
      <c r="A94" s="6">
        <f t="shared" si="3"/>
        <v>2315000</v>
      </c>
      <c r="B94" s="6"/>
      <c r="C94" s="6"/>
      <c r="D94" s="6"/>
      <c r="E94" s="3"/>
    </row>
    <row r="95" spans="1:5" ht="30" customHeight="1" x14ac:dyDescent="0.2">
      <c r="A95" s="6">
        <f t="shared" si="3"/>
        <v>2315000</v>
      </c>
      <c r="B95" s="6"/>
      <c r="C95" s="6"/>
      <c r="D95" s="6"/>
      <c r="E95" s="3"/>
    </row>
    <row r="96" spans="1:5" ht="30" customHeight="1" x14ac:dyDescent="0.2">
      <c r="A96" s="7"/>
      <c r="B96" s="7">
        <f>SUM(B77:B95)+B71</f>
        <v>6233000</v>
      </c>
      <c r="C96" s="7">
        <f>SUM(C77:C95)+C71</f>
        <v>3918000</v>
      </c>
      <c r="D96" s="7"/>
      <c r="E96" s="5"/>
    </row>
    <row r="97" spans="1:5" ht="30" customHeight="1" x14ac:dyDescent="0.2">
      <c r="A97" s="10">
        <f>A95</f>
        <v>2315000</v>
      </c>
      <c r="B97" s="10"/>
      <c r="C97" s="11" t="s">
        <v>6</v>
      </c>
      <c r="D97" s="11"/>
      <c r="E97" s="4"/>
    </row>
    <row r="98" spans="1:5" ht="30" customHeight="1" x14ac:dyDescent="0.2">
      <c r="A98" s="8"/>
      <c r="B98" s="8" t="s">
        <v>8</v>
      </c>
      <c r="C98" s="8"/>
      <c r="D98" s="8" t="s">
        <v>7</v>
      </c>
      <c r="E98" s="4"/>
    </row>
    <row r="99" spans="1:5" ht="30" customHeight="1" x14ac:dyDescent="0.2"/>
    <row r="100" spans="1:5" ht="30" customHeight="1" x14ac:dyDescent="0.2"/>
    <row r="101" spans="1:5" ht="30" customHeight="1" x14ac:dyDescent="0.2"/>
    <row r="102" spans="1:5" ht="30" customHeight="1" x14ac:dyDescent="0.2"/>
    <row r="103" spans="1:5" ht="30" customHeight="1" x14ac:dyDescent="0.2"/>
    <row r="104" spans="1:5" ht="30" customHeight="1" x14ac:dyDescent="0.2"/>
    <row r="105" spans="1:5" ht="30" customHeight="1" x14ac:dyDescent="0.2"/>
    <row r="106" spans="1:5" ht="30" customHeight="1" x14ac:dyDescent="0.2"/>
    <row r="107" spans="1:5" ht="30" customHeight="1" x14ac:dyDescent="0.2"/>
    <row r="108" spans="1:5" ht="30" customHeight="1" x14ac:dyDescent="0.2"/>
    <row r="109" spans="1:5" ht="30" customHeight="1" x14ac:dyDescent="0.2"/>
    <row r="110" spans="1:5" ht="30" customHeight="1" x14ac:dyDescent="0.2"/>
    <row r="111" spans="1:5" ht="30" customHeight="1" x14ac:dyDescent="0.2"/>
    <row r="112" spans="1:5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8">
    <mergeCell ref="A97:B97"/>
    <mergeCell ref="C97:D97"/>
    <mergeCell ref="C23:D23"/>
    <mergeCell ref="A23:B23"/>
    <mergeCell ref="A47:B47"/>
    <mergeCell ref="C47:D47"/>
    <mergeCell ref="A72:B72"/>
    <mergeCell ref="C72:D72"/>
  </mergeCells>
  <conditionalFormatting sqref="A23:B23"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A47:B47">
    <cfRule type="cellIs" dxfId="5" priority="5" operator="greaterThan">
      <formula>0</formula>
    </cfRule>
    <cfRule type="cellIs" dxfId="4" priority="6" operator="lessThanOrEqual">
      <formula>0</formula>
    </cfRule>
  </conditionalFormatting>
  <conditionalFormatting sqref="A72:B72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97:B97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2026-08-17T16:37:13Z</dcterms:modified>
</cp:coreProperties>
</file>