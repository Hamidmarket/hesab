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B25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A16" i="1" l="1"/>
  <c r="A17" i="1" s="1"/>
  <c r="A18" i="1" s="1"/>
  <c r="A19" i="1" s="1"/>
  <c r="A20" i="1" s="1"/>
  <c r="A21" i="1" s="1"/>
  <c r="A22" i="1" s="1"/>
  <c r="A23" i="1" s="1"/>
  <c r="A24" i="1" s="1"/>
  <c r="C27" i="1" s="1"/>
  <c r="H2" i="1" s="1"/>
</calcChain>
</file>

<file path=xl/sharedStrings.xml><?xml version="1.0" encoding="utf-8"?>
<sst xmlns="http://schemas.openxmlformats.org/spreadsheetml/2006/main" count="39" uniqueCount="37">
  <si>
    <t>نام طرف حساب :</t>
  </si>
  <si>
    <t>وجه حساب</t>
  </si>
  <si>
    <t>فاکتور</t>
  </si>
  <si>
    <t>مبلغ فاکتور</t>
  </si>
  <si>
    <t xml:space="preserve">جمع بدهی </t>
  </si>
  <si>
    <t>باتشکر از خرید شما</t>
  </si>
  <si>
    <t>هایپر مارکت رحمتی</t>
  </si>
  <si>
    <t>تاریخ</t>
  </si>
  <si>
    <t>احتساب اخرین فاکتور :</t>
  </si>
  <si>
    <t>امیر حسین رحمتی</t>
  </si>
  <si>
    <t>سند افتتاحیه حساب از قبل</t>
  </si>
  <si>
    <t>وجه</t>
  </si>
  <si>
    <t>1404/02/04</t>
  </si>
  <si>
    <t>قهوه تافت</t>
  </si>
  <si>
    <t>04/02//11</t>
  </si>
  <si>
    <t>پول نقد علی اورگ</t>
  </si>
  <si>
    <t>1404/03/19</t>
  </si>
  <si>
    <t>نوشابه</t>
  </si>
  <si>
    <t>1404/04/25</t>
  </si>
  <si>
    <t>تاف</t>
  </si>
  <si>
    <t>کیک</t>
  </si>
  <si>
    <t>1404/05/22</t>
  </si>
  <si>
    <t>الباقی شکلات</t>
  </si>
  <si>
    <t>1404/06/28</t>
  </si>
  <si>
    <t>لامپ ویفر</t>
  </si>
  <si>
    <t>1404/07/11</t>
  </si>
  <si>
    <t>سیگار</t>
  </si>
  <si>
    <t>تومان</t>
  </si>
  <si>
    <t>1404/08/29</t>
  </si>
  <si>
    <t xml:space="preserve">دستمال </t>
  </si>
  <si>
    <t xml:space="preserve"> بدهی کل با </t>
  </si>
  <si>
    <t>1405/02/05</t>
  </si>
  <si>
    <t>تنباکو ذغال</t>
  </si>
  <si>
    <t xml:space="preserve">قهوه  </t>
  </si>
  <si>
    <t>1405/06/07</t>
  </si>
  <si>
    <t>1405/07/12</t>
  </si>
  <si>
    <t>وجه آرایشگاه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</si>
</sst>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2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3" fontId="0" fillId="0" borderId="1" xfId="0" applyNumberFormat="1" applyBorder="1"/>
    <xf numFmtId="3" fontId="0" fillId="0" borderId="0" xfId="0" applyNumberFormat="1"/>
    <xf numFmtId="0" fontId="5" fillId="0" borderId="0" xfId="0" applyFont="1"/>
    <xf numFmtId="0" fontId="6" fillId="0" borderId="0" xfId="0" applyFont="1"/>
    <xf numFmtId="3" fontId="7" fillId="0" borderId="0" xfId="0" applyNumberFormat="1" applyFont="1" applyFill="1"/>
  </cellXfs>
  <cellStyles count="1"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topLeftCell="A14" zoomScaleNormal="100" workbookViewId="0">
      <selection activeCell="C18" sqref="C18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0.5" customWidth="1"/>
    <col min="6" max="6" width="18.125" customWidth="1"/>
  </cols>
  <sheetData>
    <row r="1" spans="1:8" ht="24" customHeight="1" x14ac:dyDescent="0.3">
      <c r="A1" t="s">
        <v>9</v>
      </c>
      <c r="B1" s="2" t="s">
        <v>0</v>
      </c>
      <c r="C1" s="2"/>
    </row>
    <row r="2" spans="1:8" ht="24" customHeight="1" x14ac:dyDescent="0.35">
      <c r="A2" s="3" t="s">
        <v>4</v>
      </c>
      <c r="B2" s="4" t="s">
        <v>3</v>
      </c>
      <c r="C2" s="3" t="s">
        <v>1</v>
      </c>
      <c r="D2" s="5" t="s">
        <v>2</v>
      </c>
      <c r="E2" s="5" t="s">
        <v>7</v>
      </c>
      <c r="H2" s="7">
        <f>C27</f>
        <v>-2219000</v>
      </c>
    </row>
    <row r="3" spans="1:8" ht="24" customHeight="1" x14ac:dyDescent="0.2">
      <c r="A3" s="6">
        <f>B3+C3</f>
        <v>747000</v>
      </c>
      <c r="B3" s="6">
        <v>747000</v>
      </c>
      <c r="C3" s="6"/>
      <c r="D3" s="1" t="s">
        <v>10</v>
      </c>
      <c r="E3" s="1"/>
    </row>
    <row r="4" spans="1:8" ht="24" customHeight="1" x14ac:dyDescent="0.2">
      <c r="A4" s="6">
        <f>A3+B4-C4</f>
        <v>712000</v>
      </c>
      <c r="B4" s="6"/>
      <c r="C4" s="6">
        <v>35000</v>
      </c>
      <c r="D4" s="1" t="s">
        <v>11</v>
      </c>
      <c r="E4" s="1"/>
    </row>
    <row r="5" spans="1:8" ht="24" customHeight="1" x14ac:dyDescent="0.2">
      <c r="A5" s="6">
        <f t="shared" ref="A5:A15" si="0">A4+B5-C5</f>
        <v>852000</v>
      </c>
      <c r="B5" s="6">
        <v>140000</v>
      </c>
      <c r="C5" s="6"/>
      <c r="D5" s="1" t="s">
        <v>13</v>
      </c>
      <c r="E5" s="1" t="s">
        <v>12</v>
      </c>
    </row>
    <row r="6" spans="1:8" ht="24" customHeight="1" x14ac:dyDescent="0.2">
      <c r="A6" s="6">
        <f t="shared" si="0"/>
        <v>902000</v>
      </c>
      <c r="B6" s="6">
        <v>50000</v>
      </c>
      <c r="C6" s="6"/>
      <c r="D6" s="1" t="s">
        <v>15</v>
      </c>
      <c r="E6" s="1" t="s">
        <v>14</v>
      </c>
    </row>
    <row r="7" spans="1:8" ht="24" customHeight="1" x14ac:dyDescent="0.2">
      <c r="A7" s="6">
        <f t="shared" si="0"/>
        <v>957000</v>
      </c>
      <c r="B7" s="6">
        <v>55000</v>
      </c>
      <c r="C7" s="6"/>
      <c r="D7" s="1" t="s">
        <v>17</v>
      </c>
      <c r="E7" s="1" t="s">
        <v>16</v>
      </c>
    </row>
    <row r="8" spans="1:8" ht="24" customHeight="1" x14ac:dyDescent="0.2">
      <c r="A8" s="6">
        <f t="shared" si="0"/>
        <v>3457000</v>
      </c>
      <c r="B8" s="6">
        <v>2500000</v>
      </c>
      <c r="C8" s="6"/>
      <c r="D8" s="1" t="s">
        <v>19</v>
      </c>
      <c r="E8" s="1" t="s">
        <v>18</v>
      </c>
    </row>
    <row r="9" spans="1:8" ht="24" customHeight="1" x14ac:dyDescent="0.2">
      <c r="A9" s="6">
        <f t="shared" si="0"/>
        <v>3501000</v>
      </c>
      <c r="B9" s="6">
        <v>44000</v>
      </c>
      <c r="C9" s="6"/>
      <c r="D9" s="1" t="s">
        <v>20</v>
      </c>
      <c r="E9" s="1" t="s">
        <v>18</v>
      </c>
    </row>
    <row r="10" spans="1:8" ht="24" customHeight="1" x14ac:dyDescent="0.2">
      <c r="A10" s="6">
        <f t="shared" si="0"/>
        <v>3691000</v>
      </c>
      <c r="B10" s="6">
        <v>190000</v>
      </c>
      <c r="C10" s="6"/>
      <c r="D10" s="1" t="s">
        <v>22</v>
      </c>
      <c r="E10" s="1" t="s">
        <v>21</v>
      </c>
    </row>
    <row r="11" spans="1:8" ht="24" customHeight="1" x14ac:dyDescent="0.2">
      <c r="A11" s="6">
        <f t="shared" si="0"/>
        <v>4151000</v>
      </c>
      <c r="B11" s="6">
        <v>460000</v>
      </c>
      <c r="C11" s="6"/>
      <c r="D11" s="1" t="s">
        <v>24</v>
      </c>
      <c r="E11" s="1" t="s">
        <v>23</v>
      </c>
    </row>
    <row r="12" spans="1:8" ht="24" customHeight="1" x14ac:dyDescent="0.2">
      <c r="A12" s="6">
        <f t="shared" si="0"/>
        <v>4186000</v>
      </c>
      <c r="B12" s="6">
        <v>35000</v>
      </c>
      <c r="C12" s="6"/>
      <c r="D12" s="1" t="s">
        <v>26</v>
      </c>
      <c r="E12" s="1" t="s">
        <v>25</v>
      </c>
    </row>
    <row r="13" spans="1:8" ht="24" customHeight="1" x14ac:dyDescent="0.2">
      <c r="A13" s="6">
        <f t="shared" si="0"/>
        <v>4516000</v>
      </c>
      <c r="B13" s="6">
        <v>330000</v>
      </c>
      <c r="C13" s="6"/>
      <c r="D13" s="1" t="s">
        <v>29</v>
      </c>
      <c r="E13" s="1" t="s">
        <v>28</v>
      </c>
    </row>
    <row r="14" spans="1:8" ht="24" customHeight="1" x14ac:dyDescent="0.2">
      <c r="A14" s="6">
        <f t="shared" si="0"/>
        <v>4786000</v>
      </c>
      <c r="B14" s="6">
        <v>270000</v>
      </c>
      <c r="C14" s="6"/>
      <c r="D14" s="1" t="s">
        <v>32</v>
      </c>
      <c r="E14" s="1" t="s">
        <v>31</v>
      </c>
    </row>
    <row r="15" spans="1:8" ht="24" customHeight="1" x14ac:dyDescent="0.2">
      <c r="A15" s="6">
        <f t="shared" si="0"/>
        <v>4891000</v>
      </c>
      <c r="B15" s="6">
        <v>105000</v>
      </c>
      <c r="C15" s="6"/>
      <c r="D15" s="1" t="s">
        <v>33</v>
      </c>
      <c r="E15" s="1"/>
    </row>
    <row r="16" spans="1:8" ht="24" customHeight="1" x14ac:dyDescent="0.2">
      <c r="A16" s="6">
        <f>A15+B16-C16</f>
        <v>4981000</v>
      </c>
      <c r="B16" s="6">
        <v>90000</v>
      </c>
      <c r="C16" s="6"/>
      <c r="D16" s="1" t="s">
        <v>26</v>
      </c>
      <c r="E16" s="1" t="s">
        <v>34</v>
      </c>
    </row>
    <row r="17" spans="1:5" ht="24" customHeight="1" x14ac:dyDescent="0.2">
      <c r="A17" s="6">
        <f t="shared" ref="A17:A24" si="1">A16+B17-C17</f>
        <v>-2219000</v>
      </c>
      <c r="B17" s="6"/>
      <c r="C17" s="6">
        <v>7200000</v>
      </c>
      <c r="D17" s="1" t="s">
        <v>36</v>
      </c>
      <c r="E17" s="1" t="s">
        <v>35</v>
      </c>
    </row>
    <row r="18" spans="1:5" ht="24" customHeight="1" x14ac:dyDescent="0.2">
      <c r="A18" s="6">
        <f t="shared" si="1"/>
        <v>-2219000</v>
      </c>
      <c r="B18" s="6"/>
      <c r="C18" s="6"/>
      <c r="D18" s="1"/>
      <c r="E18" s="1"/>
    </row>
    <row r="19" spans="1:5" ht="24" customHeight="1" x14ac:dyDescent="0.2">
      <c r="A19" s="6">
        <f t="shared" si="1"/>
        <v>-2219000</v>
      </c>
      <c r="B19" s="6"/>
      <c r="C19" s="6"/>
      <c r="D19" s="1"/>
      <c r="E19" s="1"/>
    </row>
    <row r="20" spans="1:5" ht="24" customHeight="1" x14ac:dyDescent="0.2">
      <c r="A20" s="6">
        <f t="shared" si="1"/>
        <v>-2219000</v>
      </c>
      <c r="B20" s="6"/>
      <c r="C20" s="6"/>
      <c r="D20" s="1"/>
      <c r="E20" s="1"/>
    </row>
    <row r="21" spans="1:5" ht="24" customHeight="1" x14ac:dyDescent="0.2">
      <c r="A21" s="6">
        <f t="shared" si="1"/>
        <v>-2219000</v>
      </c>
      <c r="B21" s="6"/>
      <c r="C21" s="6"/>
      <c r="D21" s="1"/>
      <c r="E21" s="1"/>
    </row>
    <row r="22" spans="1:5" ht="24" customHeight="1" x14ac:dyDescent="0.2">
      <c r="A22" s="6">
        <f t="shared" si="1"/>
        <v>-2219000</v>
      </c>
      <c r="B22" s="6"/>
      <c r="C22" s="6"/>
      <c r="D22" s="1"/>
      <c r="E22" s="1"/>
    </row>
    <row r="23" spans="1:5" ht="24" customHeight="1" x14ac:dyDescent="0.2">
      <c r="A23" s="6">
        <f t="shared" si="1"/>
        <v>-2219000</v>
      </c>
      <c r="B23" s="6"/>
      <c r="C23" s="6"/>
      <c r="D23" s="1"/>
      <c r="E23" s="1"/>
    </row>
    <row r="24" spans="1:5" ht="24" customHeight="1" x14ac:dyDescent="0.2">
      <c r="A24" s="6">
        <f t="shared" si="1"/>
        <v>-2219000</v>
      </c>
      <c r="B24" s="6"/>
      <c r="C24" s="6"/>
      <c r="D24" s="1"/>
      <c r="E24" s="1"/>
    </row>
    <row r="25" spans="1:5" ht="28.5" customHeight="1" x14ac:dyDescent="0.2">
      <c r="B25" s="7">
        <f>SUM(B3:B24)</f>
        <v>5016000</v>
      </c>
      <c r="C25" s="7">
        <f>SUM(C3:C24)</f>
        <v>7235000</v>
      </c>
    </row>
    <row r="26" spans="1:5" ht="28.5" customHeight="1" x14ac:dyDescent="0.2"/>
    <row r="27" spans="1:5" ht="28.5" customHeight="1" x14ac:dyDescent="0.4">
      <c r="B27" s="9" t="s">
        <v>27</v>
      </c>
      <c r="C27" s="10">
        <f>A24</f>
        <v>-2219000</v>
      </c>
      <c r="D27" s="8" t="s">
        <v>8</v>
      </c>
      <c r="E27" s="8" t="s">
        <v>30</v>
      </c>
    </row>
    <row r="28" spans="1:5" ht="28.5" customHeight="1" x14ac:dyDescent="0.2"/>
    <row r="29" spans="1:5" ht="28.5" customHeight="1" x14ac:dyDescent="0.25">
      <c r="B29" s="9" t="s">
        <v>6</v>
      </c>
      <c r="D29" s="9" t="s">
        <v>5</v>
      </c>
    </row>
    <row r="30" spans="1:5" ht="28.5" customHeight="1" x14ac:dyDescent="0.2"/>
    <row r="31" spans="1:5" ht="28.5" customHeight="1" x14ac:dyDescent="0.2"/>
    <row r="32" spans="1:5" ht="28.5" customHeight="1" x14ac:dyDescent="0.2"/>
    <row r="33" ht="28.5" customHeight="1" x14ac:dyDescent="0.2"/>
    <row r="34" ht="28.5" customHeight="1" x14ac:dyDescent="0.2"/>
    <row r="35" ht="28.5" customHeight="1" x14ac:dyDescent="0.2"/>
    <row r="36" ht="28.5" customHeight="1" x14ac:dyDescent="0.2"/>
    <row r="37" ht="28.5" customHeight="1" x14ac:dyDescent="0.2"/>
    <row r="38" ht="28.5" customHeight="1" x14ac:dyDescent="0.2"/>
    <row r="39" ht="28.5" customHeight="1" x14ac:dyDescent="0.2"/>
    <row r="40" ht="28.5" customHeight="1" x14ac:dyDescent="0.2"/>
    <row r="41" ht="28.5" customHeight="1" x14ac:dyDescent="0.2"/>
    <row r="42" ht="28.5" customHeight="1" x14ac:dyDescent="0.2"/>
    <row r="43" ht="28.5" customHeight="1" x14ac:dyDescent="0.2"/>
    <row r="44" ht="28.5" customHeight="1" x14ac:dyDescent="0.2"/>
    <row r="45" ht="28.5" customHeight="1" x14ac:dyDescent="0.2"/>
    <row r="46" ht="28.5" customHeight="1" x14ac:dyDescent="0.2"/>
    <row r="47" ht="28.5" customHeight="1" x14ac:dyDescent="0.2"/>
    <row r="48" ht="28.5" customHeight="1" x14ac:dyDescent="0.2"/>
    <row r="49" ht="28.5" customHeight="1" x14ac:dyDescent="0.2"/>
    <row r="50" ht="28.5" customHeight="1" x14ac:dyDescent="0.2"/>
    <row r="51" ht="28.5" customHeight="1" x14ac:dyDescent="0.2"/>
    <row r="52" ht="28.5" customHeight="1" x14ac:dyDescent="0.2"/>
    <row r="53" ht="28.5" customHeight="1" x14ac:dyDescent="0.2"/>
    <row r="54" ht="28.5" customHeight="1" x14ac:dyDescent="0.2"/>
    <row r="55" ht="28.5" customHeight="1" x14ac:dyDescent="0.2"/>
    <row r="56" ht="28.5" customHeight="1" x14ac:dyDescent="0.2"/>
    <row r="57" ht="28.5" customHeight="1" x14ac:dyDescent="0.2"/>
    <row r="58" ht="28.5" customHeight="1" x14ac:dyDescent="0.2"/>
    <row r="59" ht="28.5" customHeight="1" x14ac:dyDescent="0.2"/>
    <row r="60" ht="28.5" customHeight="1" x14ac:dyDescent="0.2"/>
    <row r="61" ht="28.5" customHeight="1" x14ac:dyDescent="0.2"/>
    <row r="62" ht="28.5" customHeight="1" x14ac:dyDescent="0.2"/>
    <row r="63" ht="28.5" customHeight="1" x14ac:dyDescent="0.2"/>
    <row r="64" ht="28.5" customHeight="1" x14ac:dyDescent="0.2"/>
    <row r="65" ht="28.5" customHeight="1" x14ac:dyDescent="0.2"/>
    <row r="66" ht="28.5" customHeight="1" x14ac:dyDescent="0.2"/>
    <row r="67" ht="28.5" customHeight="1" x14ac:dyDescent="0.2"/>
    <row r="68" ht="28.5" customHeight="1" x14ac:dyDescent="0.2"/>
    <row r="69" ht="28.5" customHeight="1" x14ac:dyDescent="0.2"/>
    <row r="70" ht="28.5" customHeight="1" x14ac:dyDescent="0.2"/>
    <row r="71" ht="28.5" customHeight="1" x14ac:dyDescent="0.2"/>
  </sheetData>
  <conditionalFormatting sqref="C27">
    <cfRule type="cellIs" dxfId="3" priority="4" operator="greaterThan">
      <formula>0</formula>
    </cfRule>
    <cfRule type="cellIs" dxfId="2" priority="3" operator="equal">
      <formula>0</formula>
    </cfRule>
    <cfRule type="cellIs" dxfId="1" priority="2" operator="lessThan">
      <formula>0</formula>
    </cfRule>
    <cfRule type="cellIs" dxfId="0" priority="1" operator="lessThanOr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2026-10-04T15:58:09Z</dcterms:modified>
</cp:coreProperties>
</file>