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A93" i="1"/>
  <c r="B113" i="1"/>
  <c r="C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C87" i="1" l="1"/>
  <c r="B87" i="1"/>
  <c r="A68" i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67" i="1"/>
  <c r="C89" i="1" l="1"/>
  <c r="B60" i="1"/>
  <c r="C60" i="1"/>
  <c r="F53" i="1"/>
  <c r="F54" i="1"/>
  <c r="F55" i="1"/>
  <c r="F56" i="1"/>
  <c r="F57" i="1"/>
  <c r="F58" i="1"/>
  <c r="F59" i="1"/>
  <c r="F40" i="1"/>
  <c r="A40" i="1" s="1"/>
  <c r="F52" i="1"/>
  <c r="F51" i="1"/>
  <c r="F50" i="1"/>
  <c r="F49" i="1"/>
  <c r="F48" i="1"/>
  <c r="F47" i="1"/>
  <c r="F46" i="1"/>
  <c r="F45" i="1"/>
  <c r="F44" i="1"/>
  <c r="F43" i="1"/>
  <c r="F42" i="1"/>
  <c r="F41" i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C62" i="1" s="1"/>
  <c r="F22" i="1"/>
  <c r="B35" i="1"/>
  <c r="C35" i="1"/>
  <c r="F34" i="1" l="1"/>
  <c r="F33" i="1"/>
  <c r="F32" i="1"/>
  <c r="F31" i="1"/>
  <c r="F30" i="1"/>
  <c r="F29" i="1"/>
  <c r="F28" i="1"/>
  <c r="F27" i="1"/>
  <c r="F26" i="1"/>
  <c r="F25" i="1"/>
  <c r="F24" i="1"/>
  <c r="F23" i="1"/>
  <c r="A22" i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B16" i="1"/>
  <c r="C16" i="1" l="1"/>
  <c r="F14" i="1" l="1"/>
  <c r="F15" i="1"/>
  <c r="F13" i="1"/>
  <c r="F12" i="1"/>
  <c r="F11" i="1"/>
  <c r="F10" i="1"/>
  <c r="F9" i="1"/>
  <c r="F8" i="1"/>
  <c r="F7" i="1"/>
  <c r="F6" i="1"/>
  <c r="F5" i="1"/>
  <c r="F4" i="1"/>
  <c r="F3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C17" i="1" s="1"/>
</calcChain>
</file>

<file path=xl/sharedStrings.xml><?xml version="1.0" encoding="utf-8"?>
<sst xmlns="http://schemas.openxmlformats.org/spreadsheetml/2006/main" count="172" uniqueCount="123">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</sst>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zoomScaleNormal="100" workbookViewId="0">
      <selection activeCell="H3" sqref="H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2258000</v>
      </c>
    </row>
    <row r="3" spans="1:8" ht="42.75" customHeight="1" x14ac:dyDescent="0.2">
      <c r="A3" s="7">
        <f xml:space="preserve"> F3</f>
        <v>130000</v>
      </c>
      <c r="B3" s="7">
        <v>130000</v>
      </c>
      <c r="C3" s="7"/>
      <c r="D3" s="1" t="s">
        <v>11</v>
      </c>
      <c r="E3" s="1" t="s">
        <v>10</v>
      </c>
      <c r="F3">
        <f>B3 - C3</f>
        <v>130000</v>
      </c>
    </row>
    <row r="4" spans="1:8" ht="43.5" customHeight="1" x14ac:dyDescent="0.2">
      <c r="A4" s="7">
        <f t="shared" ref="A4:A15" si="0" xml:space="preserve"> A3 + F4</f>
        <v>155000</v>
      </c>
      <c r="B4" s="7">
        <v>25000</v>
      </c>
      <c r="C4" s="7"/>
      <c r="D4" s="1" t="s">
        <v>13</v>
      </c>
      <c r="E4" s="1" t="s">
        <v>12</v>
      </c>
      <c r="F4">
        <f t="shared" ref="F4:F15" si="1" xml:space="preserve"> B4 - C4</f>
        <v>25000</v>
      </c>
    </row>
    <row r="5" spans="1:8" ht="43.5" customHeight="1" x14ac:dyDescent="0.2">
      <c r="A5" s="7">
        <f t="shared" si="0"/>
        <v>313000</v>
      </c>
      <c r="B5" s="7">
        <v>158000</v>
      </c>
      <c r="C5" s="7"/>
      <c r="D5" s="1" t="s">
        <v>16</v>
      </c>
      <c r="E5" s="1" t="s">
        <v>15</v>
      </c>
      <c r="F5">
        <f t="shared" si="1"/>
        <v>158000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  <c r="F6">
        <f t="shared" si="1"/>
        <v>150000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  <c r="F7">
        <f t="shared" si="1"/>
        <v>61000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  <c r="F8">
        <f t="shared" si="1"/>
        <v>-524000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  <c r="F9">
        <f t="shared" si="1"/>
        <v>180000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  <c r="F10">
        <f t="shared" si="1"/>
        <v>90000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  <c r="F11">
        <f t="shared" si="1"/>
        <v>-100000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  <c r="F12">
        <f t="shared" si="1"/>
        <v>110000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  <c r="F13">
        <f t="shared" si="1"/>
        <v>-280000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  <c r="F14">
        <f t="shared" si="1"/>
        <v>225000</v>
      </c>
    </row>
    <row r="15" spans="1:8" ht="42.75" customHeight="1" x14ac:dyDescent="0.2">
      <c r="A15" s="7">
        <f t="shared" si="0"/>
        <v>363000</v>
      </c>
      <c r="B15" s="7">
        <v>138000</v>
      </c>
      <c r="C15" s="7"/>
      <c r="D15" s="1" t="s">
        <v>34</v>
      </c>
      <c r="E15" s="1" t="s">
        <v>33</v>
      </c>
      <c r="F15">
        <f t="shared" si="1"/>
        <v>138000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6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6" ht="45" customHeight="1" x14ac:dyDescent="0.25">
      <c r="A18" s="9" t="s">
        <v>6</v>
      </c>
      <c r="B18" s="8"/>
      <c r="C18" s="8"/>
      <c r="D18" s="6" t="s">
        <v>5</v>
      </c>
    </row>
    <row r="19" spans="1:6" x14ac:dyDescent="0.2">
      <c r="A19" s="8"/>
      <c r="B19" s="8"/>
      <c r="C19" s="8"/>
    </row>
    <row r="20" spans="1:6" ht="42.75" customHeight="1" x14ac:dyDescent="0.3">
      <c r="A20" s="8"/>
      <c r="B20" s="10" t="s">
        <v>0</v>
      </c>
      <c r="C20" s="10"/>
    </row>
    <row r="21" spans="1:6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6" ht="43.5" customHeight="1" x14ac:dyDescent="0.2">
      <c r="A22" s="7">
        <f xml:space="preserve"> F22</f>
        <v>696000</v>
      </c>
      <c r="B22" s="7">
        <v>333000</v>
      </c>
      <c r="C22" s="7"/>
      <c r="D22" s="1" t="s">
        <v>36</v>
      </c>
      <c r="E22" s="1" t="s">
        <v>35</v>
      </c>
      <c r="F22" s="8">
        <f>B22 + C17 - C22</f>
        <v>696000</v>
      </c>
    </row>
    <row r="23" spans="1:6" ht="43.5" customHeight="1" x14ac:dyDescent="0.2">
      <c r="A23" s="7">
        <f t="shared" ref="A23:A34" si="2" xml:space="preserve"> A22 + F23</f>
        <v>894000</v>
      </c>
      <c r="B23" s="7">
        <v>198000</v>
      </c>
      <c r="C23" s="7"/>
      <c r="D23" s="1" t="s">
        <v>38</v>
      </c>
      <c r="E23" s="1" t="s">
        <v>37</v>
      </c>
      <c r="F23">
        <f t="shared" ref="F23:F34" si="3" xml:space="preserve"> B23 - C23</f>
        <v>198000</v>
      </c>
    </row>
    <row r="24" spans="1:6" ht="42" customHeight="1" x14ac:dyDescent="0.2">
      <c r="A24" s="7">
        <f t="shared" si="2"/>
        <v>1123000</v>
      </c>
      <c r="B24" s="7">
        <v>229000</v>
      </c>
      <c r="C24" s="7"/>
      <c r="D24" s="1" t="s">
        <v>40</v>
      </c>
      <c r="E24" s="1" t="s">
        <v>39</v>
      </c>
      <c r="F24">
        <f t="shared" si="3"/>
        <v>229000</v>
      </c>
    </row>
    <row r="25" spans="1:6" ht="42.75" customHeight="1" x14ac:dyDescent="0.2">
      <c r="A25" s="7">
        <f t="shared" si="2"/>
        <v>1419000</v>
      </c>
      <c r="B25" s="7">
        <v>296000</v>
      </c>
      <c r="C25" s="7"/>
      <c r="D25" s="1" t="s">
        <v>42</v>
      </c>
      <c r="E25" s="1" t="s">
        <v>41</v>
      </c>
      <c r="F25">
        <f t="shared" si="3"/>
        <v>296000</v>
      </c>
    </row>
    <row r="26" spans="1:6" ht="42" customHeight="1" x14ac:dyDescent="0.2">
      <c r="A26" s="7">
        <f t="shared" si="2"/>
        <v>1484000</v>
      </c>
      <c r="B26" s="7">
        <v>65000</v>
      </c>
      <c r="C26" s="7"/>
      <c r="D26" s="1" t="s">
        <v>44</v>
      </c>
      <c r="E26" s="1" t="s">
        <v>43</v>
      </c>
      <c r="F26">
        <f t="shared" si="3"/>
        <v>65000</v>
      </c>
    </row>
    <row r="27" spans="1:6" ht="43.5" customHeight="1" x14ac:dyDescent="0.2">
      <c r="A27" s="7">
        <f t="shared" si="2"/>
        <v>1697000</v>
      </c>
      <c r="B27" s="7">
        <v>213000</v>
      </c>
      <c r="C27" s="7"/>
      <c r="D27" s="1" t="s">
        <v>46</v>
      </c>
      <c r="E27" s="1" t="s">
        <v>45</v>
      </c>
      <c r="F27">
        <f t="shared" si="3"/>
        <v>213000</v>
      </c>
    </row>
    <row r="28" spans="1:6" ht="42" customHeight="1" x14ac:dyDescent="0.2">
      <c r="A28" s="7">
        <f t="shared" si="2"/>
        <v>1746000</v>
      </c>
      <c r="B28" s="7">
        <v>49000</v>
      </c>
      <c r="C28" s="7"/>
      <c r="D28" s="1" t="s">
        <v>48</v>
      </c>
      <c r="E28" s="1" t="s">
        <v>47</v>
      </c>
      <c r="F28">
        <f t="shared" si="3"/>
        <v>49000</v>
      </c>
    </row>
    <row r="29" spans="1:6" ht="43.5" customHeight="1" x14ac:dyDescent="0.2">
      <c r="A29" s="7">
        <f t="shared" si="2"/>
        <v>0</v>
      </c>
      <c r="B29" s="7"/>
      <c r="C29" s="7">
        <v>1746000</v>
      </c>
      <c r="D29" s="1" t="s">
        <v>50</v>
      </c>
      <c r="E29" s="1" t="s">
        <v>49</v>
      </c>
      <c r="F29">
        <f t="shared" si="3"/>
        <v>-1746000</v>
      </c>
    </row>
    <row r="30" spans="1:6" ht="43.5" customHeight="1" x14ac:dyDescent="0.2">
      <c r="A30" s="7">
        <f t="shared" si="2"/>
        <v>185000</v>
      </c>
      <c r="B30" s="7">
        <v>185000</v>
      </c>
      <c r="C30" s="7"/>
      <c r="D30" s="1" t="s">
        <v>52</v>
      </c>
      <c r="E30" s="1" t="s">
        <v>51</v>
      </c>
      <c r="F30">
        <f t="shared" si="3"/>
        <v>185000</v>
      </c>
    </row>
    <row r="31" spans="1:6" ht="42.75" customHeight="1" x14ac:dyDescent="0.2">
      <c r="A31" s="7">
        <f t="shared" si="2"/>
        <v>270000</v>
      </c>
      <c r="B31" s="7">
        <v>85000</v>
      </c>
      <c r="C31" s="7"/>
      <c r="D31" s="1" t="s">
        <v>54</v>
      </c>
      <c r="E31" s="1" t="s">
        <v>53</v>
      </c>
      <c r="F31">
        <f t="shared" si="3"/>
        <v>85000</v>
      </c>
    </row>
    <row r="32" spans="1:6" ht="42.75" customHeight="1" x14ac:dyDescent="0.2">
      <c r="A32" s="7">
        <f t="shared" si="2"/>
        <v>470000</v>
      </c>
      <c r="B32" s="7">
        <v>200000</v>
      </c>
      <c r="C32" s="7"/>
      <c r="D32" s="1" t="s">
        <v>56</v>
      </c>
      <c r="E32" s="1" t="s">
        <v>55</v>
      </c>
      <c r="F32">
        <f t="shared" si="3"/>
        <v>200000</v>
      </c>
    </row>
    <row r="33" spans="1:6" ht="41.25" customHeight="1" x14ac:dyDescent="0.2">
      <c r="A33" s="7">
        <f t="shared" si="2"/>
        <v>585000</v>
      </c>
      <c r="B33" s="7">
        <v>115000</v>
      </c>
      <c r="C33" s="7"/>
      <c r="D33" s="1" t="s">
        <v>58</v>
      </c>
      <c r="E33" s="1" t="s">
        <v>57</v>
      </c>
      <c r="F33">
        <f t="shared" si="3"/>
        <v>115000</v>
      </c>
    </row>
    <row r="34" spans="1:6" ht="43.5" customHeight="1" x14ac:dyDescent="0.2">
      <c r="A34" s="7">
        <f t="shared" si="2"/>
        <v>1000000</v>
      </c>
      <c r="B34" s="7">
        <v>415000</v>
      </c>
      <c r="C34" s="7"/>
      <c r="D34" s="1" t="s">
        <v>60</v>
      </c>
      <c r="E34" s="1" t="s">
        <v>59</v>
      </c>
      <c r="F34">
        <f t="shared" si="3"/>
        <v>415000</v>
      </c>
    </row>
    <row r="35" spans="1:6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6" ht="42" customHeight="1" x14ac:dyDescent="0.35">
      <c r="A36" s="8"/>
      <c r="B36" s="8"/>
      <c r="C36" s="13">
        <f xml:space="preserve"> A34</f>
        <v>1000000</v>
      </c>
      <c r="D36" s="6" t="s">
        <v>8</v>
      </c>
      <c r="E36" s="6" t="s">
        <v>9</v>
      </c>
    </row>
    <row r="37" spans="1:6" ht="31.5" customHeight="1" x14ac:dyDescent="0.25">
      <c r="A37" s="6" t="s">
        <v>6</v>
      </c>
      <c r="D37" s="6" t="s">
        <v>5</v>
      </c>
    </row>
    <row r="38" spans="1:6" ht="27.75" customHeight="1" x14ac:dyDescent="0.3">
      <c r="A38" s="8" t="s">
        <v>14</v>
      </c>
      <c r="B38" s="10" t="s">
        <v>0</v>
      </c>
      <c r="C38" s="10"/>
    </row>
    <row r="39" spans="1:6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6" ht="27" customHeight="1" x14ac:dyDescent="0.2">
      <c r="A40" s="7">
        <f xml:space="preserve"> F40</f>
        <v>0</v>
      </c>
      <c r="B40" s="7"/>
      <c r="C40" s="7">
        <v>1000000</v>
      </c>
      <c r="D40" s="1" t="s">
        <v>50</v>
      </c>
      <c r="E40" s="1" t="s">
        <v>62</v>
      </c>
      <c r="F40" s="8">
        <f>B40 + C36 - C40</f>
        <v>0</v>
      </c>
    </row>
    <row r="41" spans="1:6" ht="29.25" customHeight="1" x14ac:dyDescent="0.2">
      <c r="A41" s="7">
        <f t="shared" ref="A41:A59" si="4" xml:space="preserve"> A40 + F41</f>
        <v>360000</v>
      </c>
      <c r="B41" s="7">
        <v>360000</v>
      </c>
      <c r="C41" s="7"/>
      <c r="D41" s="1" t="s">
        <v>64</v>
      </c>
      <c r="E41" s="1" t="s">
        <v>63</v>
      </c>
      <c r="F41">
        <f t="shared" ref="F41:F59" si="5" xml:space="preserve"> B41 - C41</f>
        <v>360000</v>
      </c>
    </row>
    <row r="42" spans="1:6" ht="27" customHeight="1" x14ac:dyDescent="0.2">
      <c r="A42" s="7">
        <f t="shared" si="4"/>
        <v>506000</v>
      </c>
      <c r="B42" s="7">
        <v>146000</v>
      </c>
      <c r="C42" s="7"/>
      <c r="D42" s="1" t="s">
        <v>66</v>
      </c>
      <c r="E42" s="1" t="s">
        <v>65</v>
      </c>
      <c r="F42">
        <f t="shared" si="5"/>
        <v>146000</v>
      </c>
    </row>
    <row r="43" spans="1:6" ht="29.25" customHeight="1" x14ac:dyDescent="0.2">
      <c r="A43" s="7">
        <f t="shared" si="4"/>
        <v>626000</v>
      </c>
      <c r="B43" s="7">
        <v>120000</v>
      </c>
      <c r="C43" s="7"/>
      <c r="D43" s="1" t="s">
        <v>68</v>
      </c>
      <c r="E43" s="1" t="s">
        <v>67</v>
      </c>
      <c r="F43">
        <f t="shared" si="5"/>
        <v>120000</v>
      </c>
    </row>
    <row r="44" spans="1:6" ht="29.25" customHeight="1" x14ac:dyDescent="0.2">
      <c r="A44" s="7">
        <f t="shared" si="4"/>
        <v>760000</v>
      </c>
      <c r="B44" s="7">
        <v>134000</v>
      </c>
      <c r="C44" s="7"/>
      <c r="D44" s="1" t="s">
        <v>70</v>
      </c>
      <c r="E44" s="1" t="s">
        <v>69</v>
      </c>
      <c r="F44">
        <f t="shared" si="5"/>
        <v>134000</v>
      </c>
    </row>
    <row r="45" spans="1:6" ht="29.25" customHeight="1" x14ac:dyDescent="0.2">
      <c r="A45" s="7">
        <f t="shared" si="4"/>
        <v>1137000</v>
      </c>
      <c r="B45" s="7">
        <v>377000</v>
      </c>
      <c r="C45" s="7"/>
      <c r="D45" s="1" t="s">
        <v>72</v>
      </c>
      <c r="E45" s="1" t="s">
        <v>71</v>
      </c>
      <c r="F45">
        <f t="shared" si="5"/>
        <v>377000</v>
      </c>
    </row>
    <row r="46" spans="1:6" ht="27.75" customHeight="1" x14ac:dyDescent="0.2">
      <c r="A46" s="7">
        <f t="shared" si="4"/>
        <v>1414000</v>
      </c>
      <c r="B46" s="7">
        <v>277000</v>
      </c>
      <c r="C46" s="7"/>
      <c r="D46" s="1" t="s">
        <v>74</v>
      </c>
      <c r="E46" s="1" t="s">
        <v>73</v>
      </c>
      <c r="F46">
        <f t="shared" si="5"/>
        <v>277000</v>
      </c>
    </row>
    <row r="47" spans="1:6" ht="27.75" customHeight="1" x14ac:dyDescent="0.2">
      <c r="A47" s="7">
        <f t="shared" si="4"/>
        <v>1659000</v>
      </c>
      <c r="B47" s="7">
        <v>245000</v>
      </c>
      <c r="C47" s="7"/>
      <c r="D47" s="1" t="s">
        <v>56</v>
      </c>
      <c r="E47" s="1" t="s">
        <v>75</v>
      </c>
      <c r="F47">
        <f t="shared" si="5"/>
        <v>245000</v>
      </c>
    </row>
    <row r="48" spans="1:6" ht="28.5" customHeight="1" x14ac:dyDescent="0.2">
      <c r="A48" s="7">
        <f t="shared" si="4"/>
        <v>1774000</v>
      </c>
      <c r="B48" s="7">
        <v>115000</v>
      </c>
      <c r="C48" s="7"/>
      <c r="D48" s="1" t="s">
        <v>54</v>
      </c>
      <c r="E48" s="1" t="s">
        <v>76</v>
      </c>
      <c r="F48">
        <f t="shared" si="5"/>
        <v>115000</v>
      </c>
    </row>
    <row r="49" spans="1:6" ht="27.75" customHeight="1" x14ac:dyDescent="0.2">
      <c r="A49" s="7">
        <f t="shared" si="4"/>
        <v>0</v>
      </c>
      <c r="B49" s="7"/>
      <c r="C49" s="7">
        <v>1774000</v>
      </c>
      <c r="D49" s="1" t="s">
        <v>50</v>
      </c>
      <c r="E49" s="1" t="s">
        <v>77</v>
      </c>
      <c r="F49">
        <f t="shared" si="5"/>
        <v>-1774000</v>
      </c>
    </row>
    <row r="50" spans="1:6" ht="28.5" customHeight="1" x14ac:dyDescent="0.2">
      <c r="A50" s="7">
        <f t="shared" si="4"/>
        <v>346000</v>
      </c>
      <c r="B50" s="7">
        <v>346000</v>
      </c>
      <c r="C50" s="7"/>
      <c r="D50" s="1" t="s">
        <v>79</v>
      </c>
      <c r="E50" s="1" t="s">
        <v>78</v>
      </c>
      <c r="F50">
        <f t="shared" si="5"/>
        <v>346000</v>
      </c>
    </row>
    <row r="51" spans="1:6" ht="27" customHeight="1" x14ac:dyDescent="0.2">
      <c r="A51" s="7">
        <f t="shared" si="4"/>
        <v>1104000</v>
      </c>
      <c r="B51" s="7">
        <v>758000</v>
      </c>
      <c r="C51" s="7"/>
      <c r="D51" s="1" t="s">
        <v>81</v>
      </c>
      <c r="E51" s="1" t="s">
        <v>80</v>
      </c>
      <c r="F51">
        <f t="shared" si="5"/>
        <v>758000</v>
      </c>
    </row>
    <row r="52" spans="1:6" ht="29.25" customHeight="1" x14ac:dyDescent="0.2">
      <c r="A52" s="7">
        <f t="shared" si="4"/>
        <v>1641000</v>
      </c>
      <c r="B52" s="7">
        <v>537000</v>
      </c>
      <c r="C52" s="7"/>
      <c r="D52" s="1" t="s">
        <v>83</v>
      </c>
      <c r="E52" s="1" t="s">
        <v>82</v>
      </c>
      <c r="F52">
        <f t="shared" si="5"/>
        <v>537000</v>
      </c>
    </row>
    <row r="53" spans="1:6" ht="28.5" customHeight="1" x14ac:dyDescent="0.2">
      <c r="A53" s="7">
        <f t="shared" si="4"/>
        <v>1701000</v>
      </c>
      <c r="B53" s="7">
        <v>60000</v>
      </c>
      <c r="C53" s="7"/>
      <c r="D53" s="1" t="s">
        <v>85</v>
      </c>
      <c r="E53" s="1" t="s">
        <v>84</v>
      </c>
      <c r="F53">
        <f t="shared" si="5"/>
        <v>60000</v>
      </c>
    </row>
    <row r="54" spans="1:6" ht="27.75" customHeight="1" x14ac:dyDescent="0.25">
      <c r="A54" s="7">
        <f t="shared" si="4"/>
        <v>701000</v>
      </c>
      <c r="B54" s="7"/>
      <c r="C54" s="15">
        <v>1000000</v>
      </c>
      <c r="D54" s="16" t="s">
        <v>50</v>
      </c>
      <c r="E54" s="14"/>
      <c r="F54">
        <f t="shared" si="5"/>
        <v>-1000000</v>
      </c>
    </row>
    <row r="55" spans="1:6" ht="28.5" customHeight="1" x14ac:dyDescent="0.2">
      <c r="A55" s="7">
        <f t="shared" si="4"/>
        <v>821000</v>
      </c>
      <c r="B55" s="1">
        <v>120000</v>
      </c>
      <c r="C55" s="1"/>
      <c r="D55" s="16" t="s">
        <v>87</v>
      </c>
      <c r="E55" s="1" t="s">
        <v>86</v>
      </c>
      <c r="F55">
        <f t="shared" si="5"/>
        <v>120000</v>
      </c>
    </row>
    <row r="56" spans="1:6" ht="28.5" customHeight="1" x14ac:dyDescent="0.2">
      <c r="A56" s="7">
        <f t="shared" si="4"/>
        <v>911000</v>
      </c>
      <c r="B56" s="1">
        <v>90000</v>
      </c>
      <c r="C56" s="1"/>
      <c r="D56" s="1" t="s">
        <v>89</v>
      </c>
      <c r="E56" s="1" t="s">
        <v>88</v>
      </c>
      <c r="F56">
        <f t="shared" si="5"/>
        <v>90000</v>
      </c>
    </row>
    <row r="57" spans="1:6" ht="27.75" customHeight="1" x14ac:dyDescent="0.2">
      <c r="A57" s="7">
        <f t="shared" si="4"/>
        <v>1300000</v>
      </c>
      <c r="B57" s="1">
        <v>389000</v>
      </c>
      <c r="C57" s="1"/>
      <c r="D57" s="1" t="s">
        <v>56</v>
      </c>
      <c r="E57" s="1" t="s">
        <v>90</v>
      </c>
      <c r="F57">
        <f t="shared" si="5"/>
        <v>389000</v>
      </c>
    </row>
    <row r="58" spans="1:6" ht="27" customHeight="1" x14ac:dyDescent="0.2">
      <c r="A58" s="7">
        <f t="shared" si="4"/>
        <v>1748000</v>
      </c>
      <c r="B58" s="1">
        <v>448000</v>
      </c>
      <c r="C58" s="1"/>
      <c r="D58" s="1" t="s">
        <v>92</v>
      </c>
      <c r="E58" s="1" t="s">
        <v>91</v>
      </c>
      <c r="F58">
        <f t="shared" si="5"/>
        <v>448000</v>
      </c>
    </row>
    <row r="59" spans="1:6" ht="27" customHeight="1" x14ac:dyDescent="0.2">
      <c r="A59" s="7">
        <f t="shared" si="4"/>
        <v>1913000</v>
      </c>
      <c r="B59" s="1">
        <v>165000</v>
      </c>
      <c r="C59" s="1"/>
      <c r="D59" s="1" t="s">
        <v>94</v>
      </c>
      <c r="E59" s="1" t="s">
        <v>93</v>
      </c>
      <c r="F59">
        <f t="shared" si="5"/>
        <v>165000</v>
      </c>
    </row>
    <row r="60" spans="1:6" ht="28.5" customHeight="1" x14ac:dyDescent="0.2">
      <c r="B60" s="8">
        <f>SUM(B40:B59)+B35</f>
        <v>8337000</v>
      </c>
      <c r="C60" s="8">
        <f>SUM(C40:C59)+C35</f>
        <v>6424000</v>
      </c>
    </row>
    <row r="61" spans="1:6" ht="28.5" customHeight="1" x14ac:dyDescent="0.2"/>
    <row r="62" spans="1:6" ht="29.25" customHeight="1" x14ac:dyDescent="0.35">
      <c r="C62" s="13">
        <f>A59</f>
        <v>1913000</v>
      </c>
      <c r="D62" s="2" t="s">
        <v>61</v>
      </c>
    </row>
    <row r="63" spans="1:6" ht="28.5" customHeight="1" x14ac:dyDescent="0.2"/>
    <row r="64" spans="1:6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1963000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1963000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6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6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6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6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6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6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6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6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6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6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6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6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6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6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6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6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6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11452000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2258000</v>
      </c>
      <c r="B93" s="7"/>
      <c r="C93" s="7"/>
      <c r="D93" s="1"/>
      <c r="E93" s="1"/>
    </row>
    <row r="94" spans="1:5" ht="28.5" customHeight="1" x14ac:dyDescent="0.2">
      <c r="A94" s="7">
        <f xml:space="preserve"> A93 +B94-C94</f>
        <v>2258000</v>
      </c>
      <c r="B94" s="7"/>
      <c r="C94" s="7"/>
      <c r="D94" s="1"/>
      <c r="E94" s="1"/>
    </row>
    <row r="95" spans="1:5" ht="28.5" customHeight="1" x14ac:dyDescent="0.2">
      <c r="A95" s="7">
        <f t="shared" ref="A95:A111" si="7" xml:space="preserve"> A94 +B95-C95</f>
        <v>2258000</v>
      </c>
      <c r="B95" s="7"/>
      <c r="C95" s="7"/>
      <c r="D95" s="1"/>
      <c r="E95" s="1"/>
    </row>
    <row r="96" spans="1:5" ht="28.5" customHeight="1" x14ac:dyDescent="0.2">
      <c r="A96" s="7">
        <f t="shared" si="7"/>
        <v>2258000</v>
      </c>
      <c r="B96" s="7"/>
      <c r="C96" s="7"/>
      <c r="D96" s="1"/>
      <c r="E96" s="1"/>
    </row>
    <row r="97" spans="1:5" ht="28.5" customHeight="1" x14ac:dyDescent="0.2">
      <c r="A97" s="7">
        <f t="shared" si="7"/>
        <v>2258000</v>
      </c>
      <c r="B97" s="7"/>
      <c r="C97" s="7"/>
      <c r="D97" s="1"/>
      <c r="E97" s="1"/>
    </row>
    <row r="98" spans="1:5" ht="28.5" customHeight="1" x14ac:dyDescent="0.2">
      <c r="A98" s="7">
        <f t="shared" si="7"/>
        <v>2258000</v>
      </c>
      <c r="B98" s="7"/>
      <c r="C98" s="7"/>
      <c r="D98" s="1"/>
      <c r="E98" s="1"/>
    </row>
    <row r="99" spans="1:5" ht="28.5" customHeight="1" x14ac:dyDescent="0.2">
      <c r="A99" s="7">
        <f t="shared" si="7"/>
        <v>2258000</v>
      </c>
      <c r="B99" s="7"/>
      <c r="C99" s="7"/>
      <c r="D99" s="1"/>
      <c r="E99" s="1"/>
    </row>
    <row r="100" spans="1:5" ht="28.5" customHeight="1" x14ac:dyDescent="0.2">
      <c r="A100" s="7">
        <f t="shared" si="7"/>
        <v>2258000</v>
      </c>
      <c r="B100" s="7"/>
      <c r="C100" s="7"/>
      <c r="D100" s="1"/>
      <c r="E100" s="1"/>
    </row>
    <row r="101" spans="1:5" ht="28.5" customHeight="1" x14ac:dyDescent="0.2">
      <c r="A101" s="7">
        <f t="shared" si="7"/>
        <v>2258000</v>
      </c>
      <c r="B101" s="7"/>
      <c r="C101" s="7"/>
      <c r="D101" s="1"/>
      <c r="E101" s="1"/>
    </row>
    <row r="102" spans="1:5" ht="28.5" customHeight="1" x14ac:dyDescent="0.2">
      <c r="A102" s="7">
        <f t="shared" si="7"/>
        <v>2258000</v>
      </c>
      <c r="B102" s="7"/>
      <c r="C102" s="7"/>
      <c r="D102" s="1"/>
      <c r="E102" s="1"/>
    </row>
    <row r="103" spans="1:5" ht="28.5" customHeight="1" x14ac:dyDescent="0.2">
      <c r="A103" s="7">
        <f t="shared" si="7"/>
        <v>2258000</v>
      </c>
      <c r="B103" s="7"/>
      <c r="C103" s="7"/>
      <c r="D103" s="1"/>
      <c r="E103" s="1"/>
    </row>
    <row r="104" spans="1:5" ht="28.5" customHeight="1" x14ac:dyDescent="0.2">
      <c r="A104" s="7">
        <f t="shared" si="7"/>
        <v>2258000</v>
      </c>
      <c r="B104" s="7"/>
      <c r="C104" s="7"/>
      <c r="D104" s="1"/>
      <c r="E104" s="1"/>
    </row>
    <row r="105" spans="1:5" ht="28.5" customHeight="1" x14ac:dyDescent="0.2">
      <c r="A105" s="7">
        <f t="shared" si="7"/>
        <v>2258000</v>
      </c>
      <c r="B105" s="7"/>
      <c r="C105" s="7"/>
      <c r="D105" s="1"/>
      <c r="E105" s="1"/>
    </row>
    <row r="106" spans="1:5" ht="28.5" customHeight="1" x14ac:dyDescent="0.2">
      <c r="A106" s="7">
        <f t="shared" si="7"/>
        <v>2258000</v>
      </c>
      <c r="B106" s="7"/>
      <c r="C106" s="7"/>
      <c r="D106" s="1"/>
      <c r="E106" s="1"/>
    </row>
    <row r="107" spans="1:5" ht="28.5" customHeight="1" x14ac:dyDescent="0.2">
      <c r="A107" s="7">
        <f t="shared" si="7"/>
        <v>2258000</v>
      </c>
      <c r="B107" s="7"/>
      <c r="C107" s="7"/>
      <c r="D107" s="1"/>
      <c r="E107" s="1"/>
    </row>
    <row r="108" spans="1:5" ht="28.5" customHeight="1" x14ac:dyDescent="0.2">
      <c r="A108" s="7">
        <f t="shared" si="7"/>
        <v>2258000</v>
      </c>
      <c r="B108" s="7"/>
      <c r="C108" s="7"/>
      <c r="D108" s="1"/>
      <c r="E108" s="1"/>
    </row>
    <row r="109" spans="1:5" ht="28.5" customHeight="1" x14ac:dyDescent="0.2">
      <c r="A109" s="7">
        <f t="shared" si="7"/>
        <v>2258000</v>
      </c>
      <c r="B109" s="7"/>
      <c r="C109" s="7"/>
      <c r="D109" s="1"/>
      <c r="E109" s="1"/>
    </row>
    <row r="110" spans="1:5" ht="28.5" customHeight="1" x14ac:dyDescent="0.2">
      <c r="A110" s="7">
        <f t="shared" si="7"/>
        <v>2258000</v>
      </c>
      <c r="B110" s="7"/>
      <c r="C110" s="7"/>
      <c r="D110" s="1"/>
      <c r="E110" s="1"/>
    </row>
    <row r="111" spans="1:5" ht="28.5" customHeight="1" x14ac:dyDescent="0.2">
      <c r="A111" s="7">
        <f t="shared" si="7"/>
        <v>2258000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2258000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13710000</v>
      </c>
      <c r="C113" s="8">
        <f>SUM(C93:C112)+C87</f>
        <v>11452000</v>
      </c>
    </row>
    <row r="114" spans="2:4" ht="28.5" customHeight="1" x14ac:dyDescent="0.2"/>
    <row r="115" spans="2:4" ht="28.5" customHeight="1" x14ac:dyDescent="0.35">
      <c r="C115" s="13">
        <f>A112</f>
        <v>2258000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2026-08-19T16:58:44Z</dcterms:modified>
</cp:coreProperties>
</file>