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C141" i="1" s="1"/>
  <c r="H2" i="1" s="1"/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</calcChain>
</file>

<file path=xl/sharedStrings.xml><?xml version="1.0" encoding="utf-8"?>
<sst xmlns="http://schemas.openxmlformats.org/spreadsheetml/2006/main" count="230" uniqueCount="158">
  <si>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</si>
  <si>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</si>
  <si>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</si>
  <si>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</si>
  <si>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</si>
  <si>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</si>
  <si>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</si>
  <si>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</si>
  <si>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</si>
  <si>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</si>
  <si>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</si>
  <si>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</si>
  <si>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</si>
  <si>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</si>
  <si>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</si>
  <si>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</si>
  <si>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</si>
  <si>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</si>
  <si>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</si>
  <si>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</si>
  <si>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</si>
  <si>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</si>
  <si>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</si>
  <si>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</si>
  <si>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</si>
  <si>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</si>
  <si>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</si>
  <si>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</si>
  <si>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</si>
  <si>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</si>
  <si>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</si>
  <si>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</si>
  <si>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</si>
  <si>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</si>
  <si>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</si>
  <si>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</si>
  <si>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</si>
  <si>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</si>
  <si>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</si>
  <si>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</si>
  <si>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</si>
  <si>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</si>
  <si>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</si>
  <si>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</si>
  <si>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</si>
  <si>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</si>
  <si>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</si>
  <si>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</si>
  <si>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</si>
  <si>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</si>
  <si>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</si>
  <si>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</si>
  <si>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</si>
  <si>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</si>
  <si>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</si>
  <si>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</si>
  <si>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</si>
  <si>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</si>
  <si>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</si>
  <si>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</si>
  <si>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</si>
  <si>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</si>
  <si>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</si>
  <si>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</si>
  <si>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</si>
  <si>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</si>
  <si>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</si>
  <si>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</si>
  <si>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</si>
  <si>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</si>
  <si>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</si>
  <si>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</si>
  <si>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</si>
  <si>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</si>
  <si>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</si>
  <si>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</si>
  <si>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</si>
  <si>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</si>
  <si>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</si>
  <si>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</si>
  <si>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</si>
  <si>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</si>
  <si>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</si>
  <si>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</si>
  <si>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</si>
  <si>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</si>
  <si>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</si>
  <si>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</si>
  <si>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</si>
  <si>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</si>
  <si>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</si>
  <si>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</si>
  <si>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</si>
  <si>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</si>
  <si>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</si>
  <si>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</si>
  <si>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</si>
  <si>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</si>
  <si>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</si>
  <si>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</si>
  <si>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</si>
  <si>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</si>
  <si>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</si>
  <si>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</si>
  <si>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</si>
  <si>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</si>
  <si>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</si>
  <si>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</si>
  <si>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</si>
  <si>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</si>
  <si>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</si>
  <si>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</si>
  <si>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</si>
  <si>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</si>
  <si>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</si>
  <si>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</si>
  <si>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</si>
  <si>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</si>
  <si>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</si>
  <si>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</si>
  <si>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</si>
  <si>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</si>
  <si>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</si>
  <si>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</si>
  <si>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</si>
  <si>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</si>
  <si>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</si>
  <si>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</si>
  <si>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</si>
  <si>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</si>
  <si>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</si>
  <si>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</si>
  <si>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</si>
  <si>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</si>
  <si>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</si>
  <si>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</si>
  <si>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</si>
  <si>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</si>
  <si>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</si>
  <si>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</si>
  <si>
    <t>1405/07/01</t>
  </si>
  <si>
    <t>1405/07/09</t>
  </si>
  <si>
    <t>1405/07/10</t>
  </si>
  <si>
    <t>قهوه بستنی</t>
  </si>
  <si>
    <t>1405/07/12</t>
  </si>
  <si>
    <t>سیگار تخمه ژاپنی</t>
  </si>
  <si>
    <t>1405/07/15</t>
  </si>
  <si>
    <t>قهوه سیگار تیغ</t>
  </si>
  <si>
    <t>1405/07/16</t>
  </si>
  <si>
    <t>1405/07/19</t>
  </si>
  <si>
    <t>1405/07/21</t>
  </si>
  <si>
    <t>سیگار قهوه شکلات</t>
  </si>
  <si>
    <t>1405/07/22</t>
  </si>
  <si>
    <t>1405/07/25</t>
  </si>
  <si>
    <t>1405/07/27</t>
  </si>
  <si>
    <t>1405/07/28</t>
  </si>
  <si>
    <t>نخوچی بادام زمینی</t>
  </si>
  <si>
    <t>1405/08/01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</si>
</sst>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116" zoomScaleNormal="100" workbookViewId="0">
      <selection activeCell="B124" sqref="B12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C141</f>
        <v>2841000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0</v>
      </c>
      <c r="B104" s="7"/>
      <c r="C104" s="7">
        <v>4790000</v>
      </c>
      <c r="D104" s="1" t="s">
        <v>50</v>
      </c>
      <c r="E104" s="1" t="s">
        <v>140</v>
      </c>
    </row>
    <row r="105" spans="1:5" ht="28.5" customHeight="1" x14ac:dyDescent="0.2">
      <c r="A105" s="7">
        <f t="shared" si="4"/>
        <v>230000</v>
      </c>
      <c r="B105" s="7">
        <v>230000</v>
      </c>
      <c r="C105" s="7"/>
      <c r="D105" s="1" t="s">
        <v>48</v>
      </c>
      <c r="E105" s="1" t="s">
        <v>141</v>
      </c>
    </row>
    <row r="106" spans="1:5" ht="28.5" customHeight="1" x14ac:dyDescent="0.2">
      <c r="A106" s="7">
        <f t="shared" si="4"/>
        <v>580000</v>
      </c>
      <c r="B106" s="7">
        <v>350000</v>
      </c>
      <c r="C106" s="7"/>
      <c r="D106" s="1" t="s">
        <v>143</v>
      </c>
      <c r="E106" s="1" t="s">
        <v>142</v>
      </c>
    </row>
    <row r="107" spans="1:5" ht="28.5" customHeight="1" x14ac:dyDescent="0.2">
      <c r="A107" s="7">
        <f t="shared" si="4"/>
        <v>952000</v>
      </c>
      <c r="B107" s="7">
        <v>372000</v>
      </c>
      <c r="C107" s="7"/>
      <c r="D107" s="1" t="s">
        <v>145</v>
      </c>
      <c r="E107" s="1" t="s">
        <v>144</v>
      </c>
    </row>
    <row r="108" spans="1:5" ht="28.5" customHeight="1" x14ac:dyDescent="0.2">
      <c r="A108" s="7">
        <f t="shared" si="4"/>
        <v>1342000</v>
      </c>
      <c r="B108" s="7">
        <v>390000</v>
      </c>
      <c r="C108" s="7"/>
      <c r="D108" s="1" t="s">
        <v>147</v>
      </c>
      <c r="E108" s="1" t="s">
        <v>146</v>
      </c>
    </row>
    <row r="109" spans="1:5" ht="28.5" customHeight="1" x14ac:dyDescent="0.2">
      <c r="A109" s="7">
        <f t="shared" si="4"/>
        <v>1532000</v>
      </c>
      <c r="B109" s="7">
        <v>190000</v>
      </c>
      <c r="C109" s="7"/>
      <c r="D109" s="1" t="s">
        <v>129</v>
      </c>
      <c r="E109" s="1" t="s">
        <v>148</v>
      </c>
    </row>
    <row r="110" spans="1:5" ht="28.5" customHeight="1" x14ac:dyDescent="0.2">
      <c r="A110" s="7">
        <f t="shared" si="4"/>
        <v>1722000</v>
      </c>
      <c r="B110" s="7">
        <v>190000</v>
      </c>
      <c r="C110" s="7"/>
      <c r="D110" s="1" t="s">
        <v>129</v>
      </c>
      <c r="E110" s="1" t="s">
        <v>149</v>
      </c>
    </row>
    <row r="111" spans="1:5" ht="28.5" customHeight="1" x14ac:dyDescent="0.2">
      <c r="A111" s="7">
        <f t="shared" si="4"/>
        <v>2115000</v>
      </c>
      <c r="B111" s="7">
        <v>393000</v>
      </c>
      <c r="C111" s="7"/>
      <c r="D111" s="1" t="s">
        <v>151</v>
      </c>
      <c r="E111" s="1" t="s">
        <v>150</v>
      </c>
    </row>
    <row r="112" spans="1:5" ht="28.5" customHeight="1" x14ac:dyDescent="0.2">
      <c r="A112" s="7">
        <f xml:space="preserve"> A111 +B112-C112</f>
        <v>2515000</v>
      </c>
      <c r="B112" s="7">
        <v>400000</v>
      </c>
      <c r="C112" s="7"/>
      <c r="D112" s="1" t="s">
        <v>48</v>
      </c>
      <c r="E112" s="1" t="s">
        <v>152</v>
      </c>
    </row>
    <row r="113" spans="1:5" ht="28.5" customHeight="1" x14ac:dyDescent="0.2">
      <c r="B113" s="8">
        <f>SUM(B93:B112)+B87</f>
        <v>20390000</v>
      </c>
      <c r="C113" s="8">
        <f>SUM(C93:C112)+C87</f>
        <v>17542000</v>
      </c>
    </row>
    <row r="114" spans="1:5" ht="28.5" customHeight="1" x14ac:dyDescent="0.2"/>
    <row r="115" spans="1:5" ht="28.5" customHeight="1" x14ac:dyDescent="0.35">
      <c r="C115" s="13">
        <f>A112</f>
        <v>2515000</v>
      </c>
      <c r="D115" s="2" t="s">
        <v>61</v>
      </c>
    </row>
    <row r="116" spans="1:5" ht="28.5" customHeight="1" x14ac:dyDescent="0.2"/>
    <row r="117" spans="1:5" ht="28.5" customHeight="1" x14ac:dyDescent="0.3">
      <c r="A117" s="8" t="s">
        <v>14</v>
      </c>
      <c r="B117" s="10" t="s">
        <v>0</v>
      </c>
      <c r="C117" s="10"/>
    </row>
    <row r="118" spans="1:5" ht="28.5" customHeight="1" x14ac:dyDescent="0.35">
      <c r="A118" s="11" t="s">
        <v>4</v>
      </c>
      <c r="B118" s="12" t="s">
        <v>3</v>
      </c>
      <c r="C118" s="11" t="s">
        <v>1</v>
      </c>
      <c r="D118" s="5" t="s">
        <v>2</v>
      </c>
      <c r="E118" s="5" t="s">
        <v>7</v>
      </c>
    </row>
    <row r="119" spans="1:5" ht="28.5" customHeight="1" x14ac:dyDescent="0.2">
      <c r="A119" s="7">
        <f xml:space="preserve"> C115+B119-C119</f>
        <v>2705000</v>
      </c>
      <c r="B119" s="7">
        <v>190000</v>
      </c>
      <c r="C119" s="7"/>
      <c r="D119" s="1" t="s">
        <v>129</v>
      </c>
      <c r="E119" s="1" t="s">
        <v>153</v>
      </c>
    </row>
    <row r="120" spans="1:5" ht="28.5" customHeight="1" x14ac:dyDescent="0.2">
      <c r="A120" s="7">
        <f xml:space="preserve"> A119 +B120-C120</f>
        <v>1705000</v>
      </c>
      <c r="B120" s="7"/>
      <c r="C120" s="7">
        <v>1000000</v>
      </c>
      <c r="D120" s="1" t="s">
        <v>50</v>
      </c>
      <c r="E120" s="1" t="s">
        <v>154</v>
      </c>
    </row>
    <row r="121" spans="1:5" ht="28.5" customHeight="1" x14ac:dyDescent="0.2">
      <c r="A121" s="7">
        <f t="shared" ref="A121:A137" si="5" xml:space="preserve"> A120 +B121-C121</f>
        <v>1895000</v>
      </c>
      <c r="B121" s="7">
        <v>190000</v>
      </c>
      <c r="C121" s="7"/>
      <c r="D121" s="1" t="s">
        <v>129</v>
      </c>
      <c r="E121" s="1" t="s">
        <v>154</v>
      </c>
    </row>
    <row r="122" spans="1:5" ht="28.5" customHeight="1" x14ac:dyDescent="0.2">
      <c r="A122" s="7">
        <f t="shared" si="5"/>
        <v>2651000</v>
      </c>
      <c r="B122" s="7">
        <v>756000</v>
      </c>
      <c r="C122" s="7"/>
      <c r="D122" s="1" t="s">
        <v>156</v>
      </c>
      <c r="E122" s="1" t="s">
        <v>155</v>
      </c>
    </row>
    <row r="123" spans="1:5" ht="28.5" customHeight="1" x14ac:dyDescent="0.2">
      <c r="A123" s="7">
        <f t="shared" si="5"/>
        <v>2841000</v>
      </c>
      <c r="B123" s="7">
        <v>190000</v>
      </c>
      <c r="C123" s="7"/>
      <c r="D123" s="1" t="s">
        <v>129</v>
      </c>
      <c r="E123" s="1" t="s">
        <v>157</v>
      </c>
    </row>
    <row r="124" spans="1:5" ht="28.5" customHeight="1" x14ac:dyDescent="0.2">
      <c r="A124" s="7">
        <f t="shared" si="5"/>
        <v>2841000</v>
      </c>
      <c r="B124" s="7"/>
      <c r="C124" s="7"/>
      <c r="D124" s="1"/>
      <c r="E124" s="1"/>
    </row>
    <row r="125" spans="1:5" ht="28.5" customHeight="1" x14ac:dyDescent="0.2">
      <c r="A125" s="7">
        <f t="shared" si="5"/>
        <v>2841000</v>
      </c>
      <c r="B125" s="7"/>
      <c r="C125" s="7"/>
      <c r="D125" s="1"/>
      <c r="E125" s="1"/>
    </row>
    <row r="126" spans="1:5" ht="28.5" customHeight="1" x14ac:dyDescent="0.2">
      <c r="A126" s="7">
        <f t="shared" si="5"/>
        <v>2841000</v>
      </c>
      <c r="B126" s="7"/>
      <c r="C126" s="7"/>
      <c r="D126" s="1"/>
      <c r="E126" s="1"/>
    </row>
    <row r="127" spans="1:5" ht="28.5" customHeight="1" x14ac:dyDescent="0.2">
      <c r="A127" s="7">
        <f t="shared" si="5"/>
        <v>2841000</v>
      </c>
      <c r="B127" s="7"/>
      <c r="C127" s="7"/>
      <c r="D127" s="1"/>
      <c r="E127" s="1"/>
    </row>
    <row r="128" spans="1:5" ht="28.5" customHeight="1" x14ac:dyDescent="0.2">
      <c r="A128" s="7">
        <f t="shared" si="5"/>
        <v>2841000</v>
      </c>
      <c r="B128" s="7"/>
      <c r="C128" s="7"/>
      <c r="D128" s="1"/>
      <c r="E128" s="1"/>
    </row>
    <row r="129" spans="1:5" ht="28.5" customHeight="1" x14ac:dyDescent="0.2">
      <c r="A129" s="7">
        <f t="shared" si="5"/>
        <v>2841000</v>
      </c>
      <c r="B129" s="7"/>
      <c r="C129" s="7"/>
      <c r="D129" s="1"/>
      <c r="E129" s="1"/>
    </row>
    <row r="130" spans="1:5" ht="28.5" customHeight="1" x14ac:dyDescent="0.2">
      <c r="A130" s="7">
        <f t="shared" si="5"/>
        <v>2841000</v>
      </c>
      <c r="B130" s="7"/>
      <c r="C130" s="7"/>
      <c r="D130" s="1"/>
      <c r="E130" s="1"/>
    </row>
    <row r="131" spans="1:5" ht="28.5" customHeight="1" x14ac:dyDescent="0.2">
      <c r="A131" s="7">
        <f t="shared" si="5"/>
        <v>2841000</v>
      </c>
      <c r="B131" s="7"/>
      <c r="C131" s="7"/>
      <c r="D131" s="1"/>
      <c r="E131" s="1"/>
    </row>
    <row r="132" spans="1:5" ht="28.5" customHeight="1" x14ac:dyDescent="0.2">
      <c r="A132" s="7">
        <f t="shared" si="5"/>
        <v>2841000</v>
      </c>
      <c r="B132" s="7"/>
      <c r="C132" s="7"/>
      <c r="D132" s="1"/>
      <c r="E132" s="1"/>
    </row>
    <row r="133" spans="1:5" ht="28.5" customHeight="1" x14ac:dyDescent="0.2">
      <c r="A133" s="7">
        <f t="shared" si="5"/>
        <v>2841000</v>
      </c>
      <c r="B133" s="7"/>
      <c r="C133" s="7"/>
      <c r="D133" s="1"/>
      <c r="E133" s="1"/>
    </row>
    <row r="134" spans="1:5" ht="28.5" customHeight="1" x14ac:dyDescent="0.2">
      <c r="A134" s="7">
        <f t="shared" si="5"/>
        <v>2841000</v>
      </c>
      <c r="B134" s="7"/>
      <c r="C134" s="7"/>
      <c r="D134" s="1"/>
      <c r="E134" s="1"/>
    </row>
    <row r="135" spans="1:5" ht="28.5" customHeight="1" x14ac:dyDescent="0.2">
      <c r="A135" s="7">
        <f t="shared" si="5"/>
        <v>2841000</v>
      </c>
      <c r="B135" s="7"/>
      <c r="C135" s="7"/>
      <c r="D135" s="1"/>
      <c r="E135" s="1"/>
    </row>
    <row r="136" spans="1:5" ht="28.5" customHeight="1" x14ac:dyDescent="0.2">
      <c r="A136" s="7">
        <f t="shared" si="5"/>
        <v>2841000</v>
      </c>
      <c r="B136" s="7"/>
      <c r="C136" s="7"/>
      <c r="D136" s="1"/>
      <c r="E136" s="1"/>
    </row>
    <row r="137" spans="1:5" ht="28.5" customHeight="1" x14ac:dyDescent="0.2">
      <c r="A137" s="7">
        <f t="shared" si="5"/>
        <v>2841000</v>
      </c>
      <c r="B137" s="7"/>
      <c r="C137" s="7"/>
      <c r="D137" s="1"/>
      <c r="E137" s="1"/>
    </row>
    <row r="138" spans="1:5" ht="28.5" customHeight="1" x14ac:dyDescent="0.2">
      <c r="A138" s="7">
        <f xml:space="preserve"> A137 +B138-C138</f>
        <v>2841000</v>
      </c>
      <c r="B138" s="7"/>
      <c r="C138" s="7"/>
      <c r="D138" s="1"/>
      <c r="E138" s="1"/>
    </row>
    <row r="139" spans="1:5" ht="28.5" customHeight="1" x14ac:dyDescent="0.2">
      <c r="B139" s="8">
        <f>SUM(B119:B138)+B113</f>
        <v>21716000</v>
      </c>
      <c r="C139" s="8">
        <f>SUM(C119:C138)+C113</f>
        <v>18542000</v>
      </c>
    </row>
    <row r="140" spans="1:5" ht="28.5" customHeight="1" x14ac:dyDescent="0.2"/>
    <row r="141" spans="1:5" ht="28.5" customHeight="1" x14ac:dyDescent="0.35">
      <c r="C141" s="13">
        <f>A138</f>
        <v>2841000</v>
      </c>
      <c r="D141" s="2" t="s">
        <v>61</v>
      </c>
    </row>
    <row r="142" spans="1:5" ht="28.5" customHeight="1" x14ac:dyDescent="0.2"/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5" priority="16" operator="greaterThan">
      <formula>0</formula>
    </cfRule>
    <cfRule type="cellIs" dxfId="14" priority="15" operator="less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C89">
    <cfRule type="cellIs" dxfId="11" priority="9" operator="lessThanOrEqual">
      <formula>0</formula>
    </cfRule>
    <cfRule type="cellIs" dxfId="10" priority="10" operator="lessThan">
      <formula>0</formula>
    </cfRule>
    <cfRule type="cellIs" dxfId="9" priority="11" operator="lessThan">
      <formula>0</formula>
    </cfRule>
    <cfRule type="cellIs" dxfId="8" priority="12" operator="greaterThan">
      <formula>0</formula>
    </cfRule>
  </conditionalFormatting>
  <conditionalFormatting sqref="C115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41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2026-10-23T15:03:58Z</dcterms:modified>
</cp:coreProperties>
</file>