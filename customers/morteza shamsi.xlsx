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1" l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41" i="1"/>
  <c r="A40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15" i="1"/>
  <c r="A5" i="1"/>
  <c r="A6" i="1" s="1"/>
  <c r="A7" i="1" s="1"/>
  <c r="A8" i="1" s="1"/>
  <c r="A9" i="1" s="1"/>
  <c r="A10" i="1" s="1"/>
  <c r="A11" i="1" s="1"/>
  <c r="A12" i="1" s="1"/>
  <c r="A13" i="1" s="1"/>
  <c r="A14" i="1" s="1"/>
  <c r="A4" i="1"/>
  <c r="A3" i="1"/>
  <c r="B113" i="1" l="1"/>
  <c r="C87" i="1" l="1"/>
  <c r="C113" i="1" s="1"/>
  <c r="B87" i="1"/>
  <c r="B60" i="1" l="1"/>
  <c r="C60" i="1"/>
  <c r="B35" i="1" l="1"/>
  <c r="C35" i="1"/>
  <c r="B16" i="1" l="1"/>
  <c r="C16" i="1" l="1"/>
  <c r="C17" i="1" l="1"/>
  <c r="C36" i="1" s="1"/>
  <c r="C62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C89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C115" i="1" s="1"/>
  <c r="H2" i="1" s="1"/>
</calcChain>
</file>

<file path=xl/sharedStrings.xml><?xml version="1.0" encoding="utf-8"?>
<sst xmlns="http://schemas.openxmlformats.org/spreadsheetml/2006/main" count="212" uniqueCount="153">
  <si>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</si>
  <si>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</si>
  <si>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</si>
  <si>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</si>
  <si>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</si>
  <si>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</si>
  <si>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</si>
  <si>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</si>
  <si>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</si>
  <si>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</si>
  <si>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1404/01/30</t>
  </si>
  <si>
    <t>تخمه پفیلا</t>
  </si>
  <si>
    <t>1404/02/01</t>
  </si>
  <si>
    <t>اسپرسو</t>
  </si>
  <si>
    <t>مرتضی شمسی</t>
  </si>
  <si>
    <t>1404/02/05</t>
  </si>
  <si>
    <t>تخمه ادامس</t>
  </si>
  <si>
    <t>1404/02/08</t>
  </si>
  <si>
    <t>تخمه بادام زمینی</t>
  </si>
  <si>
    <t>1404/02/11</t>
  </si>
  <si>
    <t>قهوه</t>
  </si>
  <si>
    <t>1404/02/13</t>
  </si>
  <si>
    <t xml:space="preserve">وجه </t>
  </si>
  <si>
    <t>1404/02/25</t>
  </si>
  <si>
    <t>نوشابه چیپس</t>
  </si>
  <si>
    <t>1404/03/16</t>
  </si>
  <si>
    <t xml:space="preserve">قهوه پفک </t>
  </si>
  <si>
    <t>1404/03/18</t>
  </si>
  <si>
    <t>1404/03/22</t>
  </si>
  <si>
    <t>تخمه بستنی</t>
  </si>
  <si>
    <t>1404/03/01</t>
  </si>
  <si>
    <t>1404/05/08</t>
  </si>
  <si>
    <t xml:space="preserve">سیگار قهوه تخمه </t>
  </si>
  <si>
    <t>1404/05/11</t>
  </si>
  <si>
    <t>سیگار قهوه سیگار</t>
  </si>
  <si>
    <t>1404/05/20</t>
  </si>
  <si>
    <t>تخمه  کشمش تخمه</t>
  </si>
  <si>
    <t>1404/05/22</t>
  </si>
  <si>
    <t>سیگار قهوه عطر</t>
  </si>
  <si>
    <t>1404/05/23</t>
  </si>
  <si>
    <t>قهوه سیگار تخمه ادامس</t>
  </si>
  <si>
    <t>1404/05/24</t>
  </si>
  <si>
    <t>تخمه سیگار قهوه</t>
  </si>
  <si>
    <t>1404/05/28</t>
  </si>
  <si>
    <t xml:space="preserve">سیگار قهوه   </t>
  </si>
  <si>
    <t>1404/06/01</t>
  </si>
  <si>
    <t xml:space="preserve">قهوه سیگار تخمه  </t>
  </si>
  <si>
    <t>1404/06/03</t>
  </si>
  <si>
    <t>سیگار قهوه</t>
  </si>
  <si>
    <t>1404/06/07</t>
  </si>
  <si>
    <t>وجه</t>
  </si>
  <si>
    <t>1404/06/13</t>
  </si>
  <si>
    <t xml:space="preserve">تخمه سیگار شکلات </t>
  </si>
  <si>
    <t>1404/06/15</t>
  </si>
  <si>
    <t>قهوه سیگار</t>
  </si>
  <si>
    <t>1404/06/16</t>
  </si>
  <si>
    <t>سیگار قهوه تخمه</t>
  </si>
  <si>
    <t>1404/06/22</t>
  </si>
  <si>
    <t xml:space="preserve">سیگار قهوه </t>
  </si>
  <si>
    <t>1404/06/25</t>
  </si>
  <si>
    <t>سیگار قهوه خمیر دندان</t>
  </si>
  <si>
    <t>مانده :</t>
  </si>
  <si>
    <t>1404/06/30</t>
  </si>
  <si>
    <t>1404/07/06</t>
  </si>
  <si>
    <t>تخمه شکلات</t>
  </si>
  <si>
    <t>1404/07/09</t>
  </si>
  <si>
    <t>قهوه عطر</t>
  </si>
  <si>
    <t>1404/07/12</t>
  </si>
  <si>
    <t>تخمه آدامس</t>
  </si>
  <si>
    <t>1404/07/18</t>
  </si>
  <si>
    <t>قهوه تخمه</t>
  </si>
  <si>
    <t>1404/07/24</t>
  </si>
  <si>
    <t xml:space="preserve">شکلات قهوه </t>
  </si>
  <si>
    <t>1404/07/27</t>
  </si>
  <si>
    <t>تخمه شکلات قهوه</t>
  </si>
  <si>
    <t>1404/07/30</t>
  </si>
  <si>
    <t>1404/08/08</t>
  </si>
  <si>
    <t>1404/08/12</t>
  </si>
  <si>
    <t>1404/11/09</t>
  </si>
  <si>
    <t>تخمه چیپس</t>
  </si>
  <si>
    <t>1404/11/11</t>
  </si>
  <si>
    <t>قهوه سیگار تخمه</t>
  </si>
  <si>
    <t>1404/11/12</t>
  </si>
  <si>
    <t>عطر سیگار تخمه</t>
  </si>
  <si>
    <t>1404/11/16</t>
  </si>
  <si>
    <t>غلات</t>
  </si>
  <si>
    <t>1404/11/24</t>
  </si>
  <si>
    <t>الباقی قهوه سیگار</t>
  </si>
  <si>
    <t>1404/11/27</t>
  </si>
  <si>
    <t>چیپس پفک</t>
  </si>
  <si>
    <t>1404/11/30</t>
  </si>
  <si>
    <t>1404/12/06</t>
  </si>
  <si>
    <t>تخمه سیگار</t>
  </si>
  <si>
    <t>1404/12/08</t>
  </si>
  <si>
    <t>سیگار چیپس</t>
  </si>
  <si>
    <t>چیپس</t>
  </si>
  <si>
    <t>1404/12/09</t>
  </si>
  <si>
    <t>1404/12/21</t>
  </si>
  <si>
    <t>تخمه مغز بادام</t>
  </si>
  <si>
    <t>1405/01/09</t>
  </si>
  <si>
    <t>1405/01/22</t>
  </si>
  <si>
    <t>شیر نخوچی</t>
  </si>
  <si>
    <t>1405/01/27</t>
  </si>
  <si>
    <t>بادام کوهی چی فلکس</t>
  </si>
  <si>
    <t>1405/01/28</t>
  </si>
  <si>
    <t>1405/02/02</t>
  </si>
  <si>
    <t>نخوچی سیگار قهوه</t>
  </si>
  <si>
    <t>1405/02/03</t>
  </si>
  <si>
    <t>بادام سیگار پفیلا</t>
  </si>
  <si>
    <t>1405/02/12</t>
  </si>
  <si>
    <t>سیگار تخمه شکولات</t>
  </si>
  <si>
    <t xml:space="preserve">سیگار  </t>
  </si>
  <si>
    <t>1405/04/01</t>
  </si>
  <si>
    <t>1405/05/08</t>
  </si>
  <si>
    <t>سیگار لواشک</t>
  </si>
  <si>
    <t>1405/05/09</t>
  </si>
  <si>
    <t>1405/05/21</t>
  </si>
  <si>
    <t>شکلات سیگار</t>
  </si>
  <si>
    <t>1405/05/23</t>
  </si>
  <si>
    <t>سیگار کیک</t>
  </si>
  <si>
    <t>1405/05/26</t>
  </si>
  <si>
    <t>قهوه تخمه سیگار</t>
  </si>
  <si>
    <t>زعفران</t>
  </si>
  <si>
    <t>1405/06/02</t>
  </si>
  <si>
    <t>سیگار تخمه عطر</t>
  </si>
  <si>
    <t>1405/06/04</t>
  </si>
  <si>
    <t>1405/06/05</t>
  </si>
  <si>
    <t xml:space="preserve">سیگار   </t>
  </si>
  <si>
    <t>1405/06/10</t>
  </si>
  <si>
    <t>سیگار</t>
  </si>
  <si>
    <t>1405/06/11</t>
  </si>
  <si>
    <t>سیگار تخمه شکلات</t>
  </si>
  <si>
    <t>1405/06/13</t>
  </si>
  <si>
    <t>1405/06/17</t>
  </si>
  <si>
    <t>سیگار ابمیوه</t>
  </si>
  <si>
    <t>1405/06/16</t>
  </si>
  <si>
    <t>1405/06/19</t>
  </si>
  <si>
    <t>1405/06/20</t>
  </si>
  <si>
    <t>1405/06/23</t>
  </si>
  <si>
    <t>سیگلر قهوه</t>
  </si>
  <si>
    <t>1405/07/01</t>
  </si>
  <si>
    <t>1405/07/09</t>
  </si>
  <si>
    <t>1405/07/10</t>
  </si>
  <si>
    <t>قهوه بستنی</t>
  </si>
  <si>
    <t>1405/07/12</t>
  </si>
  <si>
    <t>سیگار تخمه ژاپنی</t>
  </si>
  <si>
    <t>1405/07/15</t>
  </si>
  <si>
    <t>قهوه سیگار تیغ</t>
  </si>
  <si>
    <t>1405/07/16</t>
  </si>
  <si>
    <t>1405/07/19</t>
  </si>
  <si>
    <t>1405/07/21</t>
  </si>
  <si>
    <t>سیگار قهوه شکلات</t>
  </si>
  <si>
    <t>1405/07/22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</si>
</sst>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1" fillId="0" borderId="0" xfId="0" applyNumberFormat="1" applyFont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0" xfId="0" applyNumberFormat="1" applyFont="1"/>
    <xf numFmtId="0" fontId="5" fillId="0" borderId="1" xfId="0" applyFont="1" applyBorder="1"/>
    <xf numFmtId="3" fontId="0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topLeftCell="A105" zoomScaleNormal="100" workbookViewId="0">
      <selection activeCell="B113" sqref="B113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2.125" customWidth="1"/>
    <col min="6" max="6" width="18.125" customWidth="1"/>
  </cols>
  <sheetData>
    <row r="1" spans="1:8" ht="42" customHeight="1" x14ac:dyDescent="0.3">
      <c r="A1" t="s">
        <v>14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8">
        <f>C115</f>
        <v>2515000</v>
      </c>
    </row>
    <row r="3" spans="1:8" ht="42.75" customHeight="1" x14ac:dyDescent="0.2">
      <c r="A3" s="7">
        <f xml:space="preserve"> B3</f>
        <v>130000</v>
      </c>
      <c r="B3" s="7">
        <v>130000</v>
      </c>
      <c r="C3" s="7"/>
      <c r="D3" s="1" t="s">
        <v>11</v>
      </c>
      <c r="E3" s="1" t="s">
        <v>10</v>
      </c>
    </row>
    <row r="4" spans="1:8" ht="43.5" customHeight="1" x14ac:dyDescent="0.2">
      <c r="A4" s="7">
        <f xml:space="preserve"> A3 + B4-C4</f>
        <v>155000</v>
      </c>
      <c r="B4" s="7">
        <v>25000</v>
      </c>
      <c r="C4" s="7"/>
      <c r="D4" s="1" t="s">
        <v>13</v>
      </c>
      <c r="E4" s="1" t="s">
        <v>12</v>
      </c>
    </row>
    <row r="5" spans="1:8" ht="43.5" customHeight="1" x14ac:dyDescent="0.2">
      <c r="A5" s="7">
        <f t="shared" ref="A5:A14" si="0" xml:space="preserve"> A4 + B5-C5</f>
        <v>313000</v>
      </c>
      <c r="B5" s="7">
        <v>158000</v>
      </c>
      <c r="C5" s="7"/>
      <c r="D5" s="1" t="s">
        <v>16</v>
      </c>
      <c r="E5" s="1" t="s">
        <v>15</v>
      </c>
    </row>
    <row r="6" spans="1:8" ht="42.75" customHeight="1" x14ac:dyDescent="0.2">
      <c r="A6" s="7">
        <f t="shared" si="0"/>
        <v>463000</v>
      </c>
      <c r="B6" s="7">
        <v>150000</v>
      </c>
      <c r="C6" s="7"/>
      <c r="D6" s="1" t="s">
        <v>18</v>
      </c>
      <c r="E6" s="1" t="s">
        <v>17</v>
      </c>
    </row>
    <row r="7" spans="1:8" ht="43.5" customHeight="1" x14ac:dyDescent="0.2">
      <c r="A7" s="7">
        <f t="shared" si="0"/>
        <v>524000</v>
      </c>
      <c r="B7" s="7">
        <v>61000</v>
      </c>
      <c r="C7" s="7"/>
      <c r="D7" s="1" t="s">
        <v>20</v>
      </c>
      <c r="E7" s="1" t="s">
        <v>19</v>
      </c>
    </row>
    <row r="8" spans="1:8" ht="42.75" customHeight="1" x14ac:dyDescent="0.2">
      <c r="A8" s="7">
        <f t="shared" si="0"/>
        <v>0</v>
      </c>
      <c r="B8" s="7"/>
      <c r="C8" s="7">
        <v>524000</v>
      </c>
      <c r="D8" s="1" t="s">
        <v>22</v>
      </c>
      <c r="E8" s="1" t="s">
        <v>21</v>
      </c>
    </row>
    <row r="9" spans="1:8" ht="43.5" customHeight="1" x14ac:dyDescent="0.2">
      <c r="A9" s="7">
        <f t="shared" si="0"/>
        <v>180000</v>
      </c>
      <c r="B9" s="7">
        <v>180000</v>
      </c>
      <c r="C9" s="7"/>
      <c r="D9" s="1" t="s">
        <v>24</v>
      </c>
      <c r="E9" s="1" t="s">
        <v>23</v>
      </c>
    </row>
    <row r="10" spans="1:8" ht="43.5" customHeight="1" x14ac:dyDescent="0.2">
      <c r="A10" s="7">
        <f t="shared" si="0"/>
        <v>270000</v>
      </c>
      <c r="B10" s="7">
        <v>90000</v>
      </c>
      <c r="C10" s="7"/>
      <c r="D10" s="1" t="s">
        <v>26</v>
      </c>
      <c r="E10" s="1" t="s">
        <v>25</v>
      </c>
    </row>
    <row r="11" spans="1:8" ht="42.75" customHeight="1" x14ac:dyDescent="0.2">
      <c r="A11" s="7">
        <f t="shared" si="0"/>
        <v>170000</v>
      </c>
      <c r="B11" s="7"/>
      <c r="C11" s="7">
        <v>100000</v>
      </c>
      <c r="D11" s="1" t="s">
        <v>22</v>
      </c>
      <c r="E11" s="1" t="s">
        <v>27</v>
      </c>
    </row>
    <row r="12" spans="1:8" ht="42" customHeight="1" x14ac:dyDescent="0.2">
      <c r="A12" s="7">
        <f t="shared" si="0"/>
        <v>280000</v>
      </c>
      <c r="B12" s="7">
        <v>110000</v>
      </c>
      <c r="C12" s="7"/>
      <c r="D12" s="1" t="s">
        <v>29</v>
      </c>
      <c r="E12" s="1" t="s">
        <v>28</v>
      </c>
    </row>
    <row r="13" spans="1:8" ht="43.5" customHeight="1" x14ac:dyDescent="0.2">
      <c r="A13" s="7">
        <f t="shared" si="0"/>
        <v>0</v>
      </c>
      <c r="B13" s="7"/>
      <c r="C13" s="7">
        <v>280000</v>
      </c>
      <c r="D13" s="1" t="s">
        <v>22</v>
      </c>
      <c r="E13" s="1" t="s">
        <v>30</v>
      </c>
    </row>
    <row r="14" spans="1:8" ht="42" customHeight="1" x14ac:dyDescent="0.2">
      <c r="A14" s="7">
        <f t="shared" si="0"/>
        <v>225000</v>
      </c>
      <c r="B14" s="7">
        <v>225000</v>
      </c>
      <c r="C14" s="7"/>
      <c r="D14" s="1" t="s">
        <v>32</v>
      </c>
      <c r="E14" s="1" t="s">
        <v>31</v>
      </c>
    </row>
    <row r="15" spans="1:8" ht="42.75" customHeight="1" x14ac:dyDescent="0.2">
      <c r="A15" s="7">
        <f xml:space="preserve"> A14 + B15-C15</f>
        <v>363000</v>
      </c>
      <c r="B15" s="7">
        <v>138000</v>
      </c>
      <c r="C15" s="7"/>
      <c r="D15" s="1" t="s">
        <v>34</v>
      </c>
      <c r="E15" s="1" t="s">
        <v>33</v>
      </c>
    </row>
    <row r="16" spans="1:8" ht="15" customHeight="1" x14ac:dyDescent="0.2">
      <c r="A16" s="8"/>
      <c r="B16" s="8">
        <f xml:space="preserve"> B3 + B4 + B5 + B6 + B7 + B8 + B9 +B10 + B11 + B12 + B13 + B14 + B15</f>
        <v>1267000</v>
      </c>
      <c r="C16" s="8">
        <f xml:space="preserve"> C3 + C4 + C5 + C6 + C7 + C8 + C9 + C10 + C11 + C12 + C13 + C14 + C15</f>
        <v>904000</v>
      </c>
    </row>
    <row r="17" spans="1:5" ht="43.5" customHeight="1" x14ac:dyDescent="0.25">
      <c r="A17" s="8"/>
      <c r="B17" s="8"/>
      <c r="C17" s="8">
        <f xml:space="preserve"> A15</f>
        <v>363000</v>
      </c>
      <c r="D17" s="6" t="s">
        <v>8</v>
      </c>
      <c r="E17" s="6" t="s">
        <v>9</v>
      </c>
    </row>
    <row r="18" spans="1:5" ht="45" customHeight="1" x14ac:dyDescent="0.25">
      <c r="A18" s="9" t="s">
        <v>6</v>
      </c>
      <c r="B18" s="8"/>
      <c r="C18" s="8"/>
      <c r="D18" s="6" t="s">
        <v>5</v>
      </c>
    </row>
    <row r="19" spans="1:5" x14ac:dyDescent="0.2">
      <c r="A19" s="8"/>
      <c r="B19" s="8"/>
      <c r="C19" s="8"/>
    </row>
    <row r="20" spans="1:5" ht="42.75" customHeight="1" x14ac:dyDescent="0.3">
      <c r="A20" s="8"/>
      <c r="B20" s="10" t="s">
        <v>0</v>
      </c>
      <c r="C20" s="10"/>
    </row>
    <row r="21" spans="1:5" ht="42" customHeight="1" x14ac:dyDescent="0.35">
      <c r="A21" s="11" t="s">
        <v>4</v>
      </c>
      <c r="B21" s="12" t="s">
        <v>3</v>
      </c>
      <c r="C21" s="11" t="s">
        <v>1</v>
      </c>
      <c r="D21" s="5" t="s">
        <v>2</v>
      </c>
      <c r="E21" s="5" t="s">
        <v>7</v>
      </c>
    </row>
    <row r="22" spans="1:5" ht="43.5" customHeight="1" x14ac:dyDescent="0.2">
      <c r="A22" s="7">
        <f xml:space="preserve"> C17</f>
        <v>363000</v>
      </c>
      <c r="B22" s="7">
        <v>333000</v>
      </c>
      <c r="C22" s="7"/>
      <c r="D22" s="1" t="s">
        <v>36</v>
      </c>
      <c r="E22" s="1" t="s">
        <v>35</v>
      </c>
    </row>
    <row r="23" spans="1:5" ht="43.5" customHeight="1" x14ac:dyDescent="0.2">
      <c r="A23" s="7">
        <f xml:space="preserve"> A22 + B23-C23</f>
        <v>561000</v>
      </c>
      <c r="B23" s="7">
        <v>198000</v>
      </c>
      <c r="C23" s="7"/>
      <c r="D23" s="1" t="s">
        <v>38</v>
      </c>
      <c r="E23" s="1" t="s">
        <v>37</v>
      </c>
    </row>
    <row r="24" spans="1:5" ht="42" customHeight="1" x14ac:dyDescent="0.2">
      <c r="A24" s="7">
        <f t="shared" ref="A24:A34" si="1" xml:space="preserve"> A23 + B24-C24</f>
        <v>790000</v>
      </c>
      <c r="B24" s="7">
        <v>229000</v>
      </c>
      <c r="C24" s="7"/>
      <c r="D24" s="1" t="s">
        <v>40</v>
      </c>
      <c r="E24" s="1" t="s">
        <v>39</v>
      </c>
    </row>
    <row r="25" spans="1:5" ht="42.75" customHeight="1" x14ac:dyDescent="0.2">
      <c r="A25" s="7">
        <f t="shared" si="1"/>
        <v>1086000</v>
      </c>
      <c r="B25" s="7">
        <v>296000</v>
      </c>
      <c r="C25" s="7"/>
      <c r="D25" s="1" t="s">
        <v>42</v>
      </c>
      <c r="E25" s="1" t="s">
        <v>41</v>
      </c>
    </row>
    <row r="26" spans="1:5" ht="42" customHeight="1" x14ac:dyDescent="0.2">
      <c r="A26" s="7">
        <f t="shared" si="1"/>
        <v>1151000</v>
      </c>
      <c r="B26" s="7">
        <v>65000</v>
      </c>
      <c r="C26" s="7"/>
      <c r="D26" s="1" t="s">
        <v>44</v>
      </c>
      <c r="E26" s="1" t="s">
        <v>43</v>
      </c>
    </row>
    <row r="27" spans="1:5" ht="43.5" customHeight="1" x14ac:dyDescent="0.2">
      <c r="A27" s="7">
        <f t="shared" si="1"/>
        <v>1364000</v>
      </c>
      <c r="B27" s="7">
        <v>213000</v>
      </c>
      <c r="C27" s="7"/>
      <c r="D27" s="1" t="s">
        <v>46</v>
      </c>
      <c r="E27" s="1" t="s">
        <v>45</v>
      </c>
    </row>
    <row r="28" spans="1:5" ht="42" customHeight="1" x14ac:dyDescent="0.2">
      <c r="A28" s="7">
        <f t="shared" si="1"/>
        <v>1413000</v>
      </c>
      <c r="B28" s="7">
        <v>49000</v>
      </c>
      <c r="C28" s="7"/>
      <c r="D28" s="1" t="s">
        <v>48</v>
      </c>
      <c r="E28" s="1" t="s">
        <v>47</v>
      </c>
    </row>
    <row r="29" spans="1:5" ht="43.5" customHeight="1" x14ac:dyDescent="0.2">
      <c r="A29" s="7">
        <f t="shared" si="1"/>
        <v>-333000</v>
      </c>
      <c r="B29" s="7"/>
      <c r="C29" s="7">
        <v>1746000</v>
      </c>
      <c r="D29" s="1" t="s">
        <v>50</v>
      </c>
      <c r="E29" s="1" t="s">
        <v>49</v>
      </c>
    </row>
    <row r="30" spans="1:5" ht="43.5" customHeight="1" x14ac:dyDescent="0.2">
      <c r="A30" s="7">
        <f t="shared" si="1"/>
        <v>-148000</v>
      </c>
      <c r="B30" s="7">
        <v>185000</v>
      </c>
      <c r="C30" s="7"/>
      <c r="D30" s="1" t="s">
        <v>52</v>
      </c>
      <c r="E30" s="1" t="s">
        <v>51</v>
      </c>
    </row>
    <row r="31" spans="1:5" ht="42.75" customHeight="1" x14ac:dyDescent="0.2">
      <c r="A31" s="7">
        <f t="shared" si="1"/>
        <v>-63000</v>
      </c>
      <c r="B31" s="7">
        <v>85000</v>
      </c>
      <c r="C31" s="7"/>
      <c r="D31" s="1" t="s">
        <v>54</v>
      </c>
      <c r="E31" s="1" t="s">
        <v>53</v>
      </c>
    </row>
    <row r="32" spans="1:5" ht="42.75" customHeight="1" x14ac:dyDescent="0.2">
      <c r="A32" s="7">
        <f t="shared" si="1"/>
        <v>137000</v>
      </c>
      <c r="B32" s="7">
        <v>200000</v>
      </c>
      <c r="C32" s="7"/>
      <c r="D32" s="1" t="s">
        <v>56</v>
      </c>
      <c r="E32" s="1" t="s">
        <v>55</v>
      </c>
    </row>
    <row r="33" spans="1:5" ht="41.25" customHeight="1" x14ac:dyDescent="0.2">
      <c r="A33" s="7">
        <f t="shared" si="1"/>
        <v>252000</v>
      </c>
      <c r="B33" s="7">
        <v>115000</v>
      </c>
      <c r="C33" s="7"/>
      <c r="D33" s="1" t="s">
        <v>58</v>
      </c>
      <c r="E33" s="1" t="s">
        <v>57</v>
      </c>
    </row>
    <row r="34" spans="1:5" ht="43.5" customHeight="1" x14ac:dyDescent="0.2">
      <c r="A34" s="7">
        <f t="shared" si="1"/>
        <v>667000</v>
      </c>
      <c r="B34" s="7">
        <v>415000</v>
      </c>
      <c r="C34" s="7"/>
      <c r="D34" s="1" t="s">
        <v>60</v>
      </c>
      <c r="E34" s="1" t="s">
        <v>59</v>
      </c>
    </row>
    <row r="35" spans="1:5" ht="42" customHeight="1" x14ac:dyDescent="0.2">
      <c r="A35" s="8"/>
      <c r="B35" s="8">
        <f xml:space="preserve"> B22 + B23 + B24 + B25 + B26 + B27 + B28 +B29 + B30 + B31 + B32 + B33 + B34 +B16</f>
        <v>3650000</v>
      </c>
      <c r="C35" s="8">
        <f xml:space="preserve"> C22 + C23 + C24 + C25 + C26 + C27 + C28 + C29 + C30 + C31 + C32 + C33 + C34 +C16</f>
        <v>2650000</v>
      </c>
    </row>
    <row r="36" spans="1:5" ht="42" customHeight="1" x14ac:dyDescent="0.35">
      <c r="A36" s="8"/>
      <c r="B36" s="8"/>
      <c r="C36" s="13">
        <f xml:space="preserve"> A34</f>
        <v>667000</v>
      </c>
      <c r="D36" s="6" t="s">
        <v>8</v>
      </c>
      <c r="E36" s="6" t="s">
        <v>9</v>
      </c>
    </row>
    <row r="37" spans="1:5" ht="31.5" customHeight="1" x14ac:dyDescent="0.25">
      <c r="A37" s="6" t="s">
        <v>6</v>
      </c>
      <c r="D37" s="6" t="s">
        <v>5</v>
      </c>
    </row>
    <row r="38" spans="1:5" ht="27.75" customHeight="1" x14ac:dyDescent="0.3">
      <c r="A38" s="8" t="s">
        <v>14</v>
      </c>
      <c r="B38" s="10" t="s">
        <v>0</v>
      </c>
      <c r="C38" s="10"/>
    </row>
    <row r="39" spans="1:5" ht="29.25" customHeight="1" x14ac:dyDescent="0.35">
      <c r="A39" s="11" t="s">
        <v>4</v>
      </c>
      <c r="B39" s="12" t="s">
        <v>3</v>
      </c>
      <c r="C39" s="11" t="s">
        <v>1</v>
      </c>
      <c r="D39" s="5" t="s">
        <v>2</v>
      </c>
      <c r="E39" s="5" t="s">
        <v>7</v>
      </c>
    </row>
    <row r="40" spans="1:5" ht="27" customHeight="1" x14ac:dyDescent="0.2">
      <c r="A40" s="7">
        <f xml:space="preserve"> C36-C40</f>
        <v>-333000</v>
      </c>
      <c r="B40" s="7"/>
      <c r="C40" s="7">
        <v>1000000</v>
      </c>
      <c r="D40" s="1" t="s">
        <v>50</v>
      </c>
      <c r="E40" s="1" t="s">
        <v>62</v>
      </c>
    </row>
    <row r="41" spans="1:5" ht="29.25" customHeight="1" x14ac:dyDescent="0.2">
      <c r="A41" s="7">
        <f xml:space="preserve"> A40 + B41-C41</f>
        <v>27000</v>
      </c>
      <c r="B41" s="7">
        <v>360000</v>
      </c>
      <c r="C41" s="7"/>
      <c r="D41" s="1" t="s">
        <v>64</v>
      </c>
      <c r="E41" s="1" t="s">
        <v>63</v>
      </c>
    </row>
    <row r="42" spans="1:5" ht="27" customHeight="1" x14ac:dyDescent="0.2">
      <c r="A42" s="7">
        <f t="shared" ref="A42:A59" si="2" xml:space="preserve"> A41 + B42-C42</f>
        <v>173000</v>
      </c>
      <c r="B42" s="7">
        <v>146000</v>
      </c>
      <c r="C42" s="7"/>
      <c r="D42" s="1" t="s">
        <v>66</v>
      </c>
      <c r="E42" s="1" t="s">
        <v>65</v>
      </c>
    </row>
    <row r="43" spans="1:5" ht="29.25" customHeight="1" x14ac:dyDescent="0.2">
      <c r="A43" s="7">
        <f t="shared" si="2"/>
        <v>293000</v>
      </c>
      <c r="B43" s="7">
        <v>120000</v>
      </c>
      <c r="C43" s="7"/>
      <c r="D43" s="1" t="s">
        <v>68</v>
      </c>
      <c r="E43" s="1" t="s">
        <v>67</v>
      </c>
    </row>
    <row r="44" spans="1:5" ht="29.25" customHeight="1" x14ac:dyDescent="0.2">
      <c r="A44" s="7">
        <f t="shared" si="2"/>
        <v>427000</v>
      </c>
      <c r="B44" s="7">
        <v>134000</v>
      </c>
      <c r="C44" s="7"/>
      <c r="D44" s="1" t="s">
        <v>70</v>
      </c>
      <c r="E44" s="1" t="s">
        <v>69</v>
      </c>
    </row>
    <row r="45" spans="1:5" ht="29.25" customHeight="1" x14ac:dyDescent="0.2">
      <c r="A45" s="7">
        <f t="shared" si="2"/>
        <v>804000</v>
      </c>
      <c r="B45" s="7">
        <v>377000</v>
      </c>
      <c r="C45" s="7"/>
      <c r="D45" s="1" t="s">
        <v>72</v>
      </c>
      <c r="E45" s="1" t="s">
        <v>71</v>
      </c>
    </row>
    <row r="46" spans="1:5" ht="27.75" customHeight="1" x14ac:dyDescent="0.2">
      <c r="A46" s="7">
        <f t="shared" si="2"/>
        <v>1081000</v>
      </c>
      <c r="B46" s="7">
        <v>277000</v>
      </c>
      <c r="C46" s="7"/>
      <c r="D46" s="1" t="s">
        <v>74</v>
      </c>
      <c r="E46" s="1" t="s">
        <v>73</v>
      </c>
    </row>
    <row r="47" spans="1:5" ht="27.75" customHeight="1" x14ac:dyDescent="0.2">
      <c r="A47" s="7">
        <f t="shared" si="2"/>
        <v>1326000</v>
      </c>
      <c r="B47" s="7">
        <v>245000</v>
      </c>
      <c r="C47" s="7"/>
      <c r="D47" s="1" t="s">
        <v>56</v>
      </c>
      <c r="E47" s="1" t="s">
        <v>75</v>
      </c>
    </row>
    <row r="48" spans="1:5" ht="28.5" customHeight="1" x14ac:dyDescent="0.2">
      <c r="A48" s="7">
        <f t="shared" si="2"/>
        <v>1441000</v>
      </c>
      <c r="B48" s="7">
        <v>115000</v>
      </c>
      <c r="C48" s="7"/>
      <c r="D48" s="1" t="s">
        <v>54</v>
      </c>
      <c r="E48" s="1" t="s">
        <v>76</v>
      </c>
    </row>
    <row r="49" spans="1:5" ht="27.75" customHeight="1" x14ac:dyDescent="0.2">
      <c r="A49" s="7">
        <f t="shared" si="2"/>
        <v>-333000</v>
      </c>
      <c r="B49" s="7"/>
      <c r="C49" s="7">
        <v>1774000</v>
      </c>
      <c r="D49" s="1" t="s">
        <v>50</v>
      </c>
      <c r="E49" s="1" t="s">
        <v>77</v>
      </c>
    </row>
    <row r="50" spans="1:5" ht="28.5" customHeight="1" x14ac:dyDescent="0.2">
      <c r="A50" s="7">
        <f t="shared" si="2"/>
        <v>13000</v>
      </c>
      <c r="B50" s="7">
        <v>346000</v>
      </c>
      <c r="C50" s="7"/>
      <c r="D50" s="1" t="s">
        <v>79</v>
      </c>
      <c r="E50" s="1" t="s">
        <v>78</v>
      </c>
    </row>
    <row r="51" spans="1:5" ht="27" customHeight="1" x14ac:dyDescent="0.2">
      <c r="A51" s="7">
        <f t="shared" si="2"/>
        <v>771000</v>
      </c>
      <c r="B51" s="7">
        <v>758000</v>
      </c>
      <c r="C51" s="7"/>
      <c r="D51" s="1" t="s">
        <v>81</v>
      </c>
      <c r="E51" s="1" t="s">
        <v>80</v>
      </c>
    </row>
    <row r="52" spans="1:5" ht="29.25" customHeight="1" x14ac:dyDescent="0.2">
      <c r="A52" s="7">
        <f t="shared" si="2"/>
        <v>1308000</v>
      </c>
      <c r="B52" s="7">
        <v>537000</v>
      </c>
      <c r="C52" s="7"/>
      <c r="D52" s="1" t="s">
        <v>83</v>
      </c>
      <c r="E52" s="1" t="s">
        <v>82</v>
      </c>
    </row>
    <row r="53" spans="1:5" ht="28.5" customHeight="1" x14ac:dyDescent="0.2">
      <c r="A53" s="7">
        <f t="shared" si="2"/>
        <v>1368000</v>
      </c>
      <c r="B53" s="7">
        <v>60000</v>
      </c>
      <c r="C53" s="7"/>
      <c r="D53" s="1" t="s">
        <v>85</v>
      </c>
      <c r="E53" s="1" t="s">
        <v>84</v>
      </c>
    </row>
    <row r="54" spans="1:5" ht="27.75" customHeight="1" x14ac:dyDescent="0.25">
      <c r="A54" s="7">
        <f t="shared" si="2"/>
        <v>368000</v>
      </c>
      <c r="B54" s="7"/>
      <c r="C54" s="15">
        <v>1000000</v>
      </c>
      <c r="D54" s="16" t="s">
        <v>50</v>
      </c>
      <c r="E54" s="14"/>
    </row>
    <row r="55" spans="1:5" ht="28.5" customHeight="1" x14ac:dyDescent="0.2">
      <c r="A55" s="7">
        <f t="shared" si="2"/>
        <v>488000</v>
      </c>
      <c r="B55" s="1">
        <v>120000</v>
      </c>
      <c r="C55" s="1"/>
      <c r="D55" s="16" t="s">
        <v>87</v>
      </c>
      <c r="E55" s="1" t="s">
        <v>86</v>
      </c>
    </row>
    <row r="56" spans="1:5" ht="28.5" customHeight="1" x14ac:dyDescent="0.2">
      <c r="A56" s="7">
        <f t="shared" si="2"/>
        <v>578000</v>
      </c>
      <c r="B56" s="1">
        <v>90000</v>
      </c>
      <c r="C56" s="1"/>
      <c r="D56" s="1" t="s">
        <v>89</v>
      </c>
      <c r="E56" s="1" t="s">
        <v>88</v>
      </c>
    </row>
    <row r="57" spans="1:5" ht="27.75" customHeight="1" x14ac:dyDescent="0.2">
      <c r="A57" s="7">
        <f t="shared" si="2"/>
        <v>967000</v>
      </c>
      <c r="B57" s="1">
        <v>389000</v>
      </c>
      <c r="C57" s="1"/>
      <c r="D57" s="1" t="s">
        <v>56</v>
      </c>
      <c r="E57" s="1" t="s">
        <v>90</v>
      </c>
    </row>
    <row r="58" spans="1:5" ht="27" customHeight="1" x14ac:dyDescent="0.2">
      <c r="A58" s="7">
        <f t="shared" si="2"/>
        <v>1415000</v>
      </c>
      <c r="B58" s="1">
        <v>448000</v>
      </c>
      <c r="C58" s="1"/>
      <c r="D58" s="1" t="s">
        <v>92</v>
      </c>
      <c r="E58" s="1" t="s">
        <v>91</v>
      </c>
    </row>
    <row r="59" spans="1:5" ht="27" customHeight="1" x14ac:dyDescent="0.2">
      <c r="A59" s="7">
        <f t="shared" si="2"/>
        <v>1580000</v>
      </c>
      <c r="B59" s="1">
        <v>165000</v>
      </c>
      <c r="C59" s="1"/>
      <c r="D59" s="1" t="s">
        <v>94</v>
      </c>
      <c r="E59" s="1" t="s">
        <v>93</v>
      </c>
    </row>
    <row r="60" spans="1:5" ht="28.5" customHeight="1" x14ac:dyDescent="0.2">
      <c r="B60" s="8">
        <f>SUM(B40:B59)+B35</f>
        <v>8337000</v>
      </c>
      <c r="C60" s="8">
        <f>SUM(C40:C59)+C35</f>
        <v>6424000</v>
      </c>
    </row>
    <row r="61" spans="1:5" ht="28.5" customHeight="1" x14ac:dyDescent="0.2"/>
    <row r="62" spans="1:5" ht="29.25" customHeight="1" x14ac:dyDescent="0.35">
      <c r="C62" s="13">
        <f>A59</f>
        <v>1580000</v>
      </c>
      <c r="D62" s="2" t="s">
        <v>61</v>
      </c>
    </row>
    <row r="63" spans="1:5" ht="28.5" customHeight="1" x14ac:dyDescent="0.2"/>
    <row r="64" spans="1:5" ht="28.5" customHeight="1" x14ac:dyDescent="0.2"/>
    <row r="65" spans="1:5" ht="28.5" customHeight="1" x14ac:dyDescent="0.3">
      <c r="A65" s="8" t="s">
        <v>14</v>
      </c>
      <c r="B65" s="10" t="s">
        <v>0</v>
      </c>
      <c r="C65" s="10"/>
    </row>
    <row r="66" spans="1:5" ht="28.5" customHeight="1" x14ac:dyDescent="0.35">
      <c r="A66" s="11" t="s">
        <v>4</v>
      </c>
      <c r="B66" s="12" t="s">
        <v>3</v>
      </c>
      <c r="C66" s="11" t="s">
        <v>1</v>
      </c>
      <c r="D66" s="5" t="s">
        <v>2</v>
      </c>
      <c r="E66" s="5" t="s">
        <v>7</v>
      </c>
    </row>
    <row r="67" spans="1:5" ht="28.5" customHeight="1" x14ac:dyDescent="0.2">
      <c r="A67" s="7">
        <f xml:space="preserve"> C62+B67-C67</f>
        <v>1630000</v>
      </c>
      <c r="B67" s="7">
        <v>50000</v>
      </c>
      <c r="C67" s="7"/>
      <c r="D67" s="1" t="s">
        <v>95</v>
      </c>
      <c r="E67" s="1" t="s">
        <v>93</v>
      </c>
    </row>
    <row r="68" spans="1:5" ht="28.5" customHeight="1" x14ac:dyDescent="0.2">
      <c r="A68" s="7">
        <f xml:space="preserve"> A67 +B68-C68</f>
        <v>0</v>
      </c>
      <c r="B68" s="7"/>
      <c r="C68" s="7">
        <v>1630000</v>
      </c>
      <c r="D68" s="1" t="s">
        <v>50</v>
      </c>
      <c r="E68" s="1" t="s">
        <v>96</v>
      </c>
    </row>
    <row r="69" spans="1:5" ht="28.5" customHeight="1" x14ac:dyDescent="0.2">
      <c r="A69" s="7">
        <f t="shared" ref="A69:A85" si="3" xml:space="preserve"> A68 +B69-C69</f>
        <v>222000</v>
      </c>
      <c r="B69" s="7">
        <v>222000</v>
      </c>
      <c r="C69" s="7"/>
      <c r="D69" s="1" t="s">
        <v>98</v>
      </c>
      <c r="E69" s="1" t="s">
        <v>97</v>
      </c>
    </row>
    <row r="70" spans="1:5" ht="28.5" customHeight="1" x14ac:dyDescent="0.2">
      <c r="A70" s="7">
        <f t="shared" si="3"/>
        <v>2000</v>
      </c>
      <c r="B70" s="7"/>
      <c r="C70" s="7">
        <v>220000</v>
      </c>
      <c r="D70" s="1" t="s">
        <v>50</v>
      </c>
      <c r="E70" s="1" t="s">
        <v>99</v>
      </c>
    </row>
    <row r="71" spans="1:5" ht="28.5" customHeight="1" x14ac:dyDescent="0.2">
      <c r="A71" s="7">
        <f t="shared" si="3"/>
        <v>319000</v>
      </c>
      <c r="B71" s="7">
        <v>317000</v>
      </c>
      <c r="C71" s="7"/>
      <c r="D71" s="1" t="s">
        <v>101</v>
      </c>
      <c r="E71" s="1" t="s">
        <v>100</v>
      </c>
    </row>
    <row r="72" spans="1:5" ht="28.5" customHeight="1" x14ac:dyDescent="0.2">
      <c r="A72" s="7">
        <f t="shared" si="3"/>
        <v>643000</v>
      </c>
      <c r="B72" s="7">
        <v>324000</v>
      </c>
      <c r="C72" s="7"/>
      <c r="D72" s="1" t="s">
        <v>103</v>
      </c>
      <c r="E72" s="1" t="s">
        <v>102</v>
      </c>
    </row>
    <row r="73" spans="1:5" ht="28.5" customHeight="1" x14ac:dyDescent="0.2">
      <c r="A73" s="7">
        <f t="shared" si="3"/>
        <v>1079000</v>
      </c>
      <c r="B73" s="7">
        <v>436000</v>
      </c>
      <c r="C73" s="7"/>
      <c r="D73" s="1" t="s">
        <v>92</v>
      </c>
      <c r="E73" s="1" t="s">
        <v>104</v>
      </c>
    </row>
    <row r="74" spans="1:5" ht="28.5" customHeight="1" x14ac:dyDescent="0.2">
      <c r="A74" s="7">
        <f t="shared" si="3"/>
        <v>1654000</v>
      </c>
      <c r="B74" s="7">
        <v>575000</v>
      </c>
      <c r="C74" s="7"/>
      <c r="D74" s="1" t="s">
        <v>106</v>
      </c>
      <c r="E74" s="1" t="s">
        <v>105</v>
      </c>
    </row>
    <row r="75" spans="1:5" ht="28.5" customHeight="1" x14ac:dyDescent="0.2">
      <c r="A75" s="7">
        <f t="shared" si="3"/>
        <v>2166000</v>
      </c>
      <c r="B75" s="7">
        <v>512000</v>
      </c>
      <c r="C75" s="7"/>
      <c r="D75" s="1" t="s">
        <v>108</v>
      </c>
      <c r="E75" s="1" t="s">
        <v>107</v>
      </c>
    </row>
    <row r="76" spans="1:5" ht="28.5" customHeight="1" x14ac:dyDescent="0.2">
      <c r="A76" s="7">
        <f t="shared" si="3"/>
        <v>2715000</v>
      </c>
      <c r="B76" s="7">
        <v>549000</v>
      </c>
      <c r="C76" s="7"/>
      <c r="D76" s="1" t="s">
        <v>110</v>
      </c>
      <c r="E76" s="1" t="s">
        <v>109</v>
      </c>
    </row>
    <row r="77" spans="1:5" ht="28.5" customHeight="1" x14ac:dyDescent="0.2">
      <c r="A77" s="7">
        <f t="shared" si="3"/>
        <v>2845000</v>
      </c>
      <c r="B77" s="7">
        <v>130000</v>
      </c>
      <c r="C77" s="7"/>
      <c r="D77" s="1" t="s">
        <v>111</v>
      </c>
      <c r="E77" s="1"/>
    </row>
    <row r="78" spans="1:5" ht="28.5" customHeight="1" x14ac:dyDescent="0.2">
      <c r="A78" s="7">
        <f t="shared" si="3"/>
        <v>0</v>
      </c>
      <c r="B78" s="7"/>
      <c r="C78" s="7">
        <v>2845000</v>
      </c>
      <c r="D78" s="1" t="s">
        <v>50</v>
      </c>
      <c r="E78" s="1" t="s">
        <v>112</v>
      </c>
    </row>
    <row r="79" spans="1:5" ht="28.5" customHeight="1" x14ac:dyDescent="0.2">
      <c r="A79" s="7">
        <f t="shared" si="3"/>
        <v>190000</v>
      </c>
      <c r="B79" s="7">
        <v>190000</v>
      </c>
      <c r="C79" s="7"/>
      <c r="D79" s="1" t="s">
        <v>114</v>
      </c>
      <c r="E79" s="1" t="s">
        <v>113</v>
      </c>
    </row>
    <row r="80" spans="1:5" ht="28.5" customHeight="1" x14ac:dyDescent="0.2">
      <c r="A80" s="7">
        <f t="shared" si="3"/>
        <v>874000</v>
      </c>
      <c r="B80" s="7">
        <v>684000</v>
      </c>
      <c r="C80" s="7"/>
      <c r="D80" s="1" t="s">
        <v>110</v>
      </c>
      <c r="E80" s="1" t="s">
        <v>115</v>
      </c>
    </row>
    <row r="81" spans="1:5" ht="28.5" customHeight="1" x14ac:dyDescent="0.25">
      <c r="A81" s="7">
        <f t="shared" si="3"/>
        <v>954000</v>
      </c>
      <c r="B81" s="7">
        <v>80000</v>
      </c>
      <c r="C81" s="15"/>
      <c r="D81" s="16" t="s">
        <v>20</v>
      </c>
      <c r="E81" s="14"/>
    </row>
    <row r="82" spans="1:5" ht="28.5" customHeight="1" x14ac:dyDescent="0.2">
      <c r="A82" s="7">
        <f t="shared" si="3"/>
        <v>1232000</v>
      </c>
      <c r="B82" s="1">
        <v>278000</v>
      </c>
      <c r="C82" s="1"/>
      <c r="D82" s="16" t="s">
        <v>117</v>
      </c>
      <c r="E82" s="1" t="s">
        <v>116</v>
      </c>
    </row>
    <row r="83" spans="1:5" ht="28.5" customHeight="1" x14ac:dyDescent="0.2">
      <c r="A83" s="7">
        <f t="shared" si="3"/>
        <v>1400000</v>
      </c>
      <c r="B83" s="1">
        <v>168000</v>
      </c>
      <c r="C83" s="1"/>
      <c r="D83" s="1" t="s">
        <v>119</v>
      </c>
      <c r="E83" s="1" t="s">
        <v>118</v>
      </c>
    </row>
    <row r="84" spans="1:5" ht="28.5" customHeight="1" x14ac:dyDescent="0.2">
      <c r="A84" s="7">
        <f t="shared" si="3"/>
        <v>1943000</v>
      </c>
      <c r="B84" s="1">
        <v>543000</v>
      </c>
      <c r="C84" s="1"/>
      <c r="D84" s="1" t="s">
        <v>121</v>
      </c>
      <c r="E84" s="1" t="s">
        <v>120</v>
      </c>
    </row>
    <row r="85" spans="1:5" ht="28.5" customHeight="1" x14ac:dyDescent="0.2">
      <c r="A85" s="7">
        <f t="shared" si="3"/>
        <v>2113000</v>
      </c>
      <c r="B85" s="1">
        <v>170000</v>
      </c>
      <c r="C85" s="1"/>
      <c r="D85" s="1" t="s">
        <v>122</v>
      </c>
      <c r="E85" s="1"/>
    </row>
    <row r="86" spans="1:5" ht="28.5" customHeight="1" x14ac:dyDescent="0.2">
      <c r="A86" s="7">
        <f xml:space="preserve"> A85 +B86-C86</f>
        <v>2258000</v>
      </c>
      <c r="B86" s="1">
        <v>145000</v>
      </c>
      <c r="C86" s="1"/>
      <c r="D86" s="1"/>
      <c r="E86" s="1" t="s">
        <v>120</v>
      </c>
    </row>
    <row r="87" spans="1:5" ht="28.5" customHeight="1" x14ac:dyDescent="0.2">
      <c r="B87" s="8">
        <f>SUM(B67:B86)+B60</f>
        <v>13710000</v>
      </c>
      <c r="C87" s="8">
        <f>SUM(C67:C86)+C60</f>
        <v>11119000</v>
      </c>
    </row>
    <row r="88" spans="1:5" ht="28.5" customHeight="1" x14ac:dyDescent="0.2"/>
    <row r="89" spans="1:5" ht="28.5" customHeight="1" x14ac:dyDescent="0.35">
      <c r="C89" s="13">
        <f>A86</f>
        <v>2258000</v>
      </c>
      <c r="D89" s="2" t="s">
        <v>61</v>
      </c>
    </row>
    <row r="90" spans="1:5" ht="28.5" customHeight="1" x14ac:dyDescent="0.2"/>
    <row r="91" spans="1:5" ht="28.5" customHeight="1" x14ac:dyDescent="0.3">
      <c r="A91" s="8" t="s">
        <v>14</v>
      </c>
      <c r="B91" s="10" t="s">
        <v>0</v>
      </c>
      <c r="C91" s="10"/>
    </row>
    <row r="92" spans="1:5" ht="28.5" customHeight="1" x14ac:dyDescent="0.35">
      <c r="A92" s="11" t="s">
        <v>4</v>
      </c>
      <c r="B92" s="12" t="s">
        <v>3</v>
      </c>
      <c r="C92" s="11" t="s">
        <v>1</v>
      </c>
      <c r="D92" s="5" t="s">
        <v>2</v>
      </c>
      <c r="E92" s="5" t="s">
        <v>7</v>
      </c>
    </row>
    <row r="93" spans="1:5" ht="28.5" customHeight="1" x14ac:dyDescent="0.2">
      <c r="A93" s="7">
        <f xml:space="preserve"> C89+B93-C93</f>
        <v>3133000</v>
      </c>
      <c r="B93" s="7">
        <v>875000</v>
      </c>
      <c r="C93" s="7"/>
      <c r="D93" s="1" t="s">
        <v>124</v>
      </c>
      <c r="E93" s="1" t="s">
        <v>123</v>
      </c>
    </row>
    <row r="94" spans="1:5" ht="28.5" customHeight="1" x14ac:dyDescent="0.2">
      <c r="A94" s="7">
        <f xml:space="preserve"> A93 +B94-C94</f>
        <v>1500000</v>
      </c>
      <c r="B94" s="7"/>
      <c r="C94" s="7">
        <v>1633000</v>
      </c>
      <c r="D94" s="1" t="s">
        <v>50</v>
      </c>
      <c r="E94" s="1" t="s">
        <v>125</v>
      </c>
    </row>
    <row r="95" spans="1:5" ht="28.5" customHeight="1" x14ac:dyDescent="0.2">
      <c r="A95" s="7">
        <f t="shared" ref="A95:A111" si="4" xml:space="preserve"> A94 +B95-C95</f>
        <v>1760000</v>
      </c>
      <c r="B95" s="7">
        <v>260000</v>
      </c>
      <c r="C95" s="7"/>
      <c r="D95" s="1" t="s">
        <v>127</v>
      </c>
      <c r="E95" s="1" t="s">
        <v>126</v>
      </c>
    </row>
    <row r="96" spans="1:5" ht="28.5" customHeight="1" x14ac:dyDescent="0.2">
      <c r="A96" s="7">
        <f t="shared" si="4"/>
        <v>1900000</v>
      </c>
      <c r="B96" s="7">
        <v>140000</v>
      </c>
      <c r="C96" s="7"/>
      <c r="D96" s="1" t="s">
        <v>129</v>
      </c>
      <c r="E96" s="1" t="s">
        <v>128</v>
      </c>
    </row>
    <row r="97" spans="1:5" ht="28.5" customHeight="1" x14ac:dyDescent="0.2">
      <c r="A97" s="7">
        <f t="shared" si="4"/>
        <v>2820000</v>
      </c>
      <c r="B97" s="7">
        <v>920000</v>
      </c>
      <c r="C97" s="7"/>
      <c r="D97" s="1" t="s">
        <v>131</v>
      </c>
      <c r="E97" s="1" t="s">
        <v>130</v>
      </c>
    </row>
    <row r="98" spans="1:5" ht="28.5" customHeight="1" x14ac:dyDescent="0.2">
      <c r="A98" s="7">
        <f t="shared" si="4"/>
        <v>3260000</v>
      </c>
      <c r="B98" s="7">
        <v>440000</v>
      </c>
      <c r="C98" s="7"/>
      <c r="D98" s="1" t="s">
        <v>48</v>
      </c>
      <c r="E98" s="1" t="s">
        <v>132</v>
      </c>
    </row>
    <row r="99" spans="1:5" ht="28.5" customHeight="1" x14ac:dyDescent="0.2">
      <c r="A99" s="7">
        <f t="shared" si="4"/>
        <v>3460000</v>
      </c>
      <c r="B99" s="7">
        <v>200000</v>
      </c>
      <c r="C99" s="7"/>
      <c r="D99" s="1" t="s">
        <v>134</v>
      </c>
      <c r="E99" s="1" t="s">
        <v>135</v>
      </c>
    </row>
    <row r="100" spans="1:5" ht="28.5" customHeight="1" x14ac:dyDescent="0.2">
      <c r="A100" s="7">
        <f t="shared" si="4"/>
        <v>3730000</v>
      </c>
      <c r="B100" s="7">
        <v>270000</v>
      </c>
      <c r="C100" s="7"/>
      <c r="D100" s="1" t="s">
        <v>129</v>
      </c>
      <c r="E100" s="1" t="s">
        <v>133</v>
      </c>
    </row>
    <row r="101" spans="1:5" ht="28.5" customHeight="1" x14ac:dyDescent="0.2">
      <c r="A101" s="7">
        <f t="shared" si="4"/>
        <v>4010000</v>
      </c>
      <c r="B101" s="7">
        <v>280000</v>
      </c>
      <c r="C101" s="7"/>
      <c r="D101" s="1" t="s">
        <v>129</v>
      </c>
      <c r="E101" s="1" t="s">
        <v>136</v>
      </c>
    </row>
    <row r="102" spans="1:5" ht="28.5" customHeight="1" x14ac:dyDescent="0.2">
      <c r="A102" s="7">
        <f t="shared" si="4"/>
        <v>4490000</v>
      </c>
      <c r="B102" s="7">
        <v>480000</v>
      </c>
      <c r="C102" s="7"/>
      <c r="D102" s="1" t="s">
        <v>54</v>
      </c>
      <c r="E102" s="1" t="s">
        <v>137</v>
      </c>
    </row>
    <row r="103" spans="1:5" ht="28.5" customHeight="1" x14ac:dyDescent="0.2">
      <c r="A103" s="7">
        <f t="shared" si="4"/>
        <v>4790000</v>
      </c>
      <c r="B103" s="7">
        <v>300000</v>
      </c>
      <c r="C103" s="7"/>
      <c r="D103" s="1" t="s">
        <v>139</v>
      </c>
      <c r="E103" s="1" t="s">
        <v>138</v>
      </c>
    </row>
    <row r="104" spans="1:5" ht="28.5" customHeight="1" x14ac:dyDescent="0.2">
      <c r="A104" s="7">
        <f t="shared" si="4"/>
        <v>0</v>
      </c>
      <c r="B104" s="7"/>
      <c r="C104" s="7">
        <v>4790000</v>
      </c>
      <c r="D104" s="1" t="s">
        <v>50</v>
      </c>
      <c r="E104" s="1" t="s">
        <v>140</v>
      </c>
    </row>
    <row r="105" spans="1:5" ht="28.5" customHeight="1" x14ac:dyDescent="0.2">
      <c r="A105" s="7">
        <f t="shared" si="4"/>
        <v>230000</v>
      </c>
      <c r="B105" s="7">
        <v>230000</v>
      </c>
      <c r="C105" s="7"/>
      <c r="D105" s="1" t="s">
        <v>48</v>
      </c>
      <c r="E105" s="1" t="s">
        <v>141</v>
      </c>
    </row>
    <row r="106" spans="1:5" ht="28.5" customHeight="1" x14ac:dyDescent="0.2">
      <c r="A106" s="7">
        <f t="shared" si="4"/>
        <v>580000</v>
      </c>
      <c r="B106" s="7">
        <v>350000</v>
      </c>
      <c r="C106" s="7"/>
      <c r="D106" s="1" t="s">
        <v>143</v>
      </c>
      <c r="E106" s="1" t="s">
        <v>142</v>
      </c>
    </row>
    <row r="107" spans="1:5" ht="28.5" customHeight="1" x14ac:dyDescent="0.2">
      <c r="A107" s="7">
        <f t="shared" si="4"/>
        <v>952000</v>
      </c>
      <c r="B107" s="7">
        <v>372000</v>
      </c>
      <c r="C107" s="7"/>
      <c r="D107" s="1" t="s">
        <v>145</v>
      </c>
      <c r="E107" s="1" t="s">
        <v>144</v>
      </c>
    </row>
    <row r="108" spans="1:5" ht="28.5" customHeight="1" x14ac:dyDescent="0.2">
      <c r="A108" s="7">
        <f t="shared" si="4"/>
        <v>1342000</v>
      </c>
      <c r="B108" s="7">
        <v>390000</v>
      </c>
      <c r="C108" s="7"/>
      <c r="D108" s="1" t="s">
        <v>147</v>
      </c>
      <c r="E108" s="1" t="s">
        <v>146</v>
      </c>
    </row>
    <row r="109" spans="1:5" ht="28.5" customHeight="1" x14ac:dyDescent="0.2">
      <c r="A109" s="7">
        <f t="shared" si="4"/>
        <v>1532000</v>
      </c>
      <c r="B109" s="7">
        <v>190000</v>
      </c>
      <c r="C109" s="7"/>
      <c r="D109" s="1" t="s">
        <v>129</v>
      </c>
      <c r="E109" s="1" t="s">
        <v>148</v>
      </c>
    </row>
    <row r="110" spans="1:5" ht="28.5" customHeight="1" x14ac:dyDescent="0.2">
      <c r="A110" s="7">
        <f t="shared" si="4"/>
        <v>1722000</v>
      </c>
      <c r="B110" s="7">
        <v>190000</v>
      </c>
      <c r="C110" s="7"/>
      <c r="D110" s="1" t="s">
        <v>129</v>
      </c>
      <c r="E110" s="1" t="s">
        <v>149</v>
      </c>
    </row>
    <row r="111" spans="1:5" ht="28.5" customHeight="1" x14ac:dyDescent="0.2">
      <c r="A111" s="7">
        <f t="shared" si="4"/>
        <v>2115000</v>
      </c>
      <c r="B111" s="7">
        <v>393000</v>
      </c>
      <c r="C111" s="7"/>
      <c r="D111" s="1" t="s">
        <v>151</v>
      </c>
      <c r="E111" s="1" t="s">
        <v>150</v>
      </c>
    </row>
    <row r="112" spans="1:5" ht="28.5" customHeight="1" x14ac:dyDescent="0.2">
      <c r="A112" s="7">
        <f xml:space="preserve"> A111 +B112-C112</f>
        <v>2515000</v>
      </c>
      <c r="B112" s="7">
        <v>400000</v>
      </c>
      <c r="C112" s="7"/>
      <c r="D112" s="1" t="s">
        <v>48</v>
      </c>
      <c r="E112" s="1" t="s">
        <v>152</v>
      </c>
    </row>
    <row r="113" spans="2:4" ht="28.5" customHeight="1" x14ac:dyDescent="0.2">
      <c r="B113" s="8">
        <f>SUM(B93:B112)+B87</f>
        <v>20390000</v>
      </c>
      <c r="C113" s="8">
        <f>SUM(C93:C112)+C87</f>
        <v>17542000</v>
      </c>
    </row>
    <row r="114" spans="2:4" ht="28.5" customHeight="1" x14ac:dyDescent="0.2"/>
    <row r="115" spans="2:4" ht="28.5" customHeight="1" x14ac:dyDescent="0.35">
      <c r="C115" s="13">
        <f>A112</f>
        <v>2515000</v>
      </c>
      <c r="D115" s="2" t="s">
        <v>61</v>
      </c>
    </row>
    <row r="116" spans="2:4" ht="28.5" customHeight="1" x14ac:dyDescent="0.2"/>
    <row r="117" spans="2:4" ht="28.5" customHeight="1" x14ac:dyDescent="0.2"/>
    <row r="118" spans="2:4" ht="28.5" customHeight="1" x14ac:dyDescent="0.2"/>
    <row r="119" spans="2:4" ht="28.5" customHeight="1" x14ac:dyDescent="0.2"/>
    <row r="120" spans="2:4" ht="28.5" customHeight="1" x14ac:dyDescent="0.2"/>
    <row r="121" spans="2:4" ht="28.5" customHeight="1" x14ac:dyDescent="0.2"/>
    <row r="122" spans="2:4" ht="28.5" customHeight="1" x14ac:dyDescent="0.2"/>
    <row r="123" spans="2:4" ht="28.5" customHeight="1" x14ac:dyDescent="0.2"/>
    <row r="124" spans="2:4" ht="28.5" customHeight="1" x14ac:dyDescent="0.2"/>
    <row r="125" spans="2:4" ht="28.5" customHeight="1" x14ac:dyDescent="0.2"/>
    <row r="126" spans="2:4" ht="28.5" customHeight="1" x14ac:dyDescent="0.2"/>
    <row r="127" spans="2:4" ht="28.5" customHeight="1" x14ac:dyDescent="0.2"/>
    <row r="128" spans="2:4" ht="28.5" customHeight="1" x14ac:dyDescent="0.2"/>
    <row r="129" ht="28.5" customHeight="1" x14ac:dyDescent="0.2"/>
    <row r="130" ht="28.5" customHeight="1" x14ac:dyDescent="0.2"/>
    <row r="131" ht="28.5" customHeight="1" x14ac:dyDescent="0.2"/>
    <row r="132" ht="28.5" customHeight="1" x14ac:dyDescent="0.2"/>
    <row r="133" ht="28.5" customHeight="1" x14ac:dyDescent="0.2"/>
    <row r="134" ht="28.5" customHeight="1" x14ac:dyDescent="0.2"/>
    <row r="135" ht="28.5" customHeight="1" x14ac:dyDescent="0.2"/>
    <row r="136" ht="28.5" customHeight="1" x14ac:dyDescent="0.2"/>
    <row r="137" ht="28.5" customHeight="1" x14ac:dyDescent="0.2"/>
    <row r="138" ht="28.5" customHeight="1" x14ac:dyDescent="0.2"/>
    <row r="139" ht="28.5" customHeight="1" x14ac:dyDescent="0.2"/>
    <row r="140" ht="28.5" customHeight="1" x14ac:dyDescent="0.2"/>
    <row r="141" ht="28.5" customHeight="1" x14ac:dyDescent="0.2"/>
    <row r="142" ht="28.5" customHeight="1" x14ac:dyDescent="0.2"/>
    <row r="143" ht="28.5" customHeight="1" x14ac:dyDescent="0.2"/>
    <row r="144" ht="28.5" customHeight="1" x14ac:dyDescent="0.2"/>
    <row r="145" ht="28.5" customHeight="1" x14ac:dyDescent="0.2"/>
    <row r="146" ht="28.5" customHeight="1" x14ac:dyDescent="0.2"/>
    <row r="147" ht="28.5" customHeight="1" x14ac:dyDescent="0.2"/>
    <row r="148" ht="28.5" customHeight="1" x14ac:dyDescent="0.2"/>
    <row r="149" ht="28.5" customHeight="1" x14ac:dyDescent="0.2"/>
  </sheetData>
  <conditionalFormatting sqref="C62">
    <cfRule type="cellIs" dxfId="11" priority="12" operator="greaterThan">
      <formula>0</formula>
    </cfRule>
    <cfRule type="cellIs" dxfId="10" priority="11" operator="lessThan">
      <formula>0</formula>
    </cfRule>
    <cfRule type="cellIs" dxfId="9" priority="10" operator="lessThan">
      <formula>0</formula>
    </cfRule>
    <cfRule type="cellIs" dxfId="8" priority="9" operator="lessThanOrEqual">
      <formula>0</formula>
    </cfRule>
  </conditionalFormatting>
  <conditionalFormatting sqref="C89">
    <cfRule type="cellIs" dxfId="7" priority="5" operator="lessThanOrEqual">
      <formula>0</formula>
    </cfRule>
    <cfRule type="cellIs" dxfId="6" priority="6" operator="lessThan">
      <formula>0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C115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2026-10-14T14:48:06Z</dcterms:modified>
</cp:coreProperties>
</file>