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<sst xmlns="http://schemas.openxmlformats.org/spreadsheetml/2006/main" count="228" uniqueCount="157">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</sst>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6" zoomScaleNormal="100" workbookViewId="0">
      <selection activeCell="B123" sqref="B12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2651000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3">
      <c r="A117" s="8" t="s">
        <v>14</v>
      </c>
      <c r="B117" s="10" t="s">
        <v>0</v>
      </c>
      <c r="C117" s="10"/>
    </row>
    <row r="118" spans="1:5" ht="28.5" customHeight="1" x14ac:dyDescent="0.35">
      <c r="A118" s="11" t="s">
        <v>4</v>
      </c>
      <c r="B118" s="12" t="s">
        <v>3</v>
      </c>
      <c r="C118" s="11" t="s">
        <v>1</v>
      </c>
      <c r="D118" s="5" t="s">
        <v>2</v>
      </c>
      <c r="E118" s="5" t="s">
        <v>7</v>
      </c>
    </row>
    <row r="119" spans="1:5" ht="28.5" customHeight="1" x14ac:dyDescent="0.2">
      <c r="A119" s="7">
        <f xml:space="preserve"> C115+B119-C119</f>
        <v>2705000</v>
      </c>
      <c r="B119" s="7">
        <v>190000</v>
      </c>
      <c r="C119" s="7"/>
      <c r="D119" s="1" t="s">
        <v>129</v>
      </c>
      <c r="E119" s="1" t="s">
        <v>153</v>
      </c>
    </row>
    <row r="120" spans="1:5" ht="28.5" customHeight="1" x14ac:dyDescent="0.2">
      <c r="A120" s="7">
        <f xml:space="preserve"> A119 +B120-C120</f>
        <v>1705000</v>
      </c>
      <c r="B120" s="7"/>
      <c r="C120" s="7">
        <v>1000000</v>
      </c>
      <c r="D120" s="1" t="s">
        <v>50</v>
      </c>
      <c r="E120" s="1" t="s">
        <v>154</v>
      </c>
    </row>
    <row r="121" spans="1:5" ht="28.5" customHeight="1" x14ac:dyDescent="0.2">
      <c r="A121" s="7">
        <f t="shared" ref="A121:A137" si="5" xml:space="preserve"> A120 +B121-C121</f>
        <v>1895000</v>
      </c>
      <c r="B121" s="7">
        <v>190000</v>
      </c>
      <c r="C121" s="7"/>
      <c r="D121" s="1" t="s">
        <v>129</v>
      </c>
      <c r="E121" s="1" t="s">
        <v>154</v>
      </c>
    </row>
    <row r="122" spans="1:5" ht="28.5" customHeight="1" x14ac:dyDescent="0.2">
      <c r="A122" s="7">
        <f t="shared" si="5"/>
        <v>2651000</v>
      </c>
      <c r="B122" s="7">
        <v>756000</v>
      </c>
      <c r="C122" s="7"/>
      <c r="D122" s="1" t="s">
        <v>156</v>
      </c>
      <c r="E122" s="1" t="s">
        <v>155</v>
      </c>
    </row>
    <row r="123" spans="1:5" ht="28.5" customHeight="1" x14ac:dyDescent="0.2">
      <c r="A123" s="7">
        <f t="shared" si="5"/>
        <v>2651000</v>
      </c>
      <c r="B123" s="7"/>
      <c r="C123" s="7"/>
      <c r="D123" s="1"/>
      <c r="E123" s="1"/>
    </row>
    <row r="124" spans="1:5" ht="28.5" customHeight="1" x14ac:dyDescent="0.2">
      <c r="A124" s="7">
        <f t="shared" si="5"/>
        <v>2651000</v>
      </c>
      <c r="B124" s="7"/>
      <c r="C124" s="7"/>
      <c r="D124" s="1"/>
      <c r="E124" s="1"/>
    </row>
    <row r="125" spans="1:5" ht="28.5" customHeight="1" x14ac:dyDescent="0.2">
      <c r="A125" s="7">
        <f t="shared" si="5"/>
        <v>2651000</v>
      </c>
      <c r="B125" s="7"/>
      <c r="C125" s="7"/>
      <c r="D125" s="1"/>
      <c r="E125" s="1"/>
    </row>
    <row r="126" spans="1:5" ht="28.5" customHeight="1" x14ac:dyDescent="0.2">
      <c r="A126" s="7">
        <f t="shared" si="5"/>
        <v>2651000</v>
      </c>
      <c r="B126" s="7"/>
      <c r="C126" s="7"/>
      <c r="D126" s="1"/>
      <c r="E126" s="1"/>
    </row>
    <row r="127" spans="1:5" ht="28.5" customHeight="1" x14ac:dyDescent="0.2">
      <c r="A127" s="7">
        <f t="shared" si="5"/>
        <v>2651000</v>
      </c>
      <c r="B127" s="7"/>
      <c r="C127" s="7"/>
      <c r="D127" s="1"/>
      <c r="E127" s="1"/>
    </row>
    <row r="128" spans="1:5" ht="28.5" customHeight="1" x14ac:dyDescent="0.2">
      <c r="A128" s="7">
        <f t="shared" si="5"/>
        <v>2651000</v>
      </c>
      <c r="B128" s="7"/>
      <c r="C128" s="7"/>
      <c r="D128" s="1"/>
      <c r="E128" s="1"/>
    </row>
    <row r="129" spans="1:5" ht="28.5" customHeight="1" x14ac:dyDescent="0.2">
      <c r="A129" s="7">
        <f t="shared" si="5"/>
        <v>2651000</v>
      </c>
      <c r="B129" s="7"/>
      <c r="C129" s="7"/>
      <c r="D129" s="1"/>
      <c r="E129" s="1"/>
    </row>
    <row r="130" spans="1:5" ht="28.5" customHeight="1" x14ac:dyDescent="0.2">
      <c r="A130" s="7">
        <f t="shared" si="5"/>
        <v>2651000</v>
      </c>
      <c r="B130" s="7"/>
      <c r="C130" s="7"/>
      <c r="D130" s="1"/>
      <c r="E130" s="1"/>
    </row>
    <row r="131" spans="1:5" ht="28.5" customHeight="1" x14ac:dyDescent="0.2">
      <c r="A131" s="7">
        <f t="shared" si="5"/>
        <v>2651000</v>
      </c>
      <c r="B131" s="7"/>
      <c r="C131" s="7"/>
      <c r="D131" s="1"/>
      <c r="E131" s="1"/>
    </row>
    <row r="132" spans="1:5" ht="28.5" customHeight="1" x14ac:dyDescent="0.2">
      <c r="A132" s="7">
        <f t="shared" si="5"/>
        <v>2651000</v>
      </c>
      <c r="B132" s="7"/>
      <c r="C132" s="7"/>
      <c r="D132" s="1"/>
      <c r="E132" s="1"/>
    </row>
    <row r="133" spans="1:5" ht="28.5" customHeight="1" x14ac:dyDescent="0.2">
      <c r="A133" s="7">
        <f t="shared" si="5"/>
        <v>2651000</v>
      </c>
      <c r="B133" s="7"/>
      <c r="C133" s="7"/>
      <c r="D133" s="1"/>
      <c r="E133" s="1"/>
    </row>
    <row r="134" spans="1:5" ht="28.5" customHeight="1" x14ac:dyDescent="0.2">
      <c r="A134" s="7">
        <f t="shared" si="5"/>
        <v>2651000</v>
      </c>
      <c r="B134" s="7"/>
      <c r="C134" s="7"/>
      <c r="D134" s="1"/>
      <c r="E134" s="1"/>
    </row>
    <row r="135" spans="1:5" ht="28.5" customHeight="1" x14ac:dyDescent="0.2">
      <c r="A135" s="7">
        <f t="shared" si="5"/>
        <v>2651000</v>
      </c>
      <c r="B135" s="7"/>
      <c r="C135" s="7"/>
      <c r="D135" s="1"/>
      <c r="E135" s="1"/>
    </row>
    <row r="136" spans="1:5" ht="28.5" customHeight="1" x14ac:dyDescent="0.2">
      <c r="A136" s="7">
        <f t="shared" si="5"/>
        <v>2651000</v>
      </c>
      <c r="B136" s="7"/>
      <c r="C136" s="7"/>
      <c r="D136" s="1"/>
      <c r="E136" s="1"/>
    </row>
    <row r="137" spans="1:5" ht="28.5" customHeight="1" x14ac:dyDescent="0.2">
      <c r="A137" s="7">
        <f t="shared" si="5"/>
        <v>2651000</v>
      </c>
      <c r="B137" s="7"/>
      <c r="C137" s="7"/>
      <c r="D137" s="1"/>
      <c r="E137" s="1"/>
    </row>
    <row r="138" spans="1:5" ht="28.5" customHeight="1" x14ac:dyDescent="0.2">
      <c r="A138" s="7">
        <f xml:space="preserve"> A137 +B138-C138</f>
        <v>2651000</v>
      </c>
      <c r="B138" s="7"/>
      <c r="C138" s="7"/>
      <c r="D138" s="1"/>
      <c r="E138" s="1"/>
    </row>
    <row r="139" spans="1:5" ht="28.5" customHeight="1" x14ac:dyDescent="0.2">
      <c r="B139" s="8">
        <f>SUM(B119:B138)+B113</f>
        <v>21526000</v>
      </c>
      <c r="C139" s="8">
        <f>SUM(C119:C138)+C113</f>
        <v>18542000</v>
      </c>
    </row>
    <row r="140" spans="1:5" ht="28.5" customHeight="1" x14ac:dyDescent="0.2"/>
    <row r="141" spans="1:5" ht="28.5" customHeight="1" x14ac:dyDescent="0.35">
      <c r="C141" s="13">
        <f>A138</f>
        <v>2651000</v>
      </c>
      <c r="D141" s="2" t="s">
        <v>61</v>
      </c>
    </row>
    <row r="142" spans="1:5" ht="28.5" customHeight="1" x14ac:dyDescent="0.2"/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2026-10-20T13:56:33Z</dcterms:modified>
</cp:coreProperties>
</file>