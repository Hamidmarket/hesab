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5" i="1" l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B257" i="1" s="1"/>
  <c r="H2" i="1" s="1"/>
  <c r="C255" i="1"/>
  <c r="B255" i="1"/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<sst xmlns="http://schemas.openxmlformats.org/spreadsheetml/2006/main" count="442" uniqueCount="263">
  <si>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</si>
  <si>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</si>
  <si>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</si>
  <si>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</si>
  <si>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</si>
  <si>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</si>
  <si>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</si>
  <si>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</si>
  <si>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</si>
  <si>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</si>
  <si>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</si>
  <si>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</si>
  <si>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</si>
  <si>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</si>
  <si>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</si>
  <si>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</si>
  <si>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</si>
  <si>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</si>
  <si>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</si>
  <si>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</si>
  <si>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</si>
  <si>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</si>
  <si>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</si>
  <si>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</si>
  <si>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</si>
  <si>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</si>
  <si>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</si>
  <si>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</si>
  <si>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</si>
  <si>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</si>
  <si>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</si>
  <si>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</si>
  <si>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</si>
  <si>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</si>
  <si>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</si>
  <si>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</si>
  <si>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</si>
  <si>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</si>
  <si>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</si>
  <si>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</si>
  <si>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</si>
  <si>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</si>
  <si>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</si>
  <si>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</si>
  <si>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</si>
  <si>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</si>
  <si>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</si>
  <si>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</si>
  <si>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</si>
  <si>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</si>
  <si>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</si>
  <si>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</si>
  <si>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</si>
  <si>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</si>
  <si>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</si>
  <si>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</si>
  <si>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</si>
  <si>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</si>
  <si>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</si>
  <si>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</si>
  <si>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</si>
  <si>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</si>
  <si>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</si>
  <si>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</si>
  <si>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</si>
  <si>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</si>
  <si>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</si>
  <si>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</si>
  <si>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</si>
  <si>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</si>
  <si>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</si>
  <si>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</si>
  <si>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</si>
  <si>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</si>
  <si>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</si>
  <si>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</si>
  <si>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</si>
  <si>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</si>
  <si>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</si>
  <si>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</si>
  <si>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</si>
  <si>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</si>
  <si>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</si>
  <si>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</si>
  <si>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</si>
  <si>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</si>
  <si>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</si>
  <si>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</si>
  <si>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</si>
  <si>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</si>
  <si>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</si>
  <si>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</si>
  <si>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</si>
  <si>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</si>
  <si>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</si>
  <si>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</si>
  <si>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</si>
  <si>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</si>
  <si>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</si>
  <si>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</si>
  <si>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</si>
  <si>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</si>
  <si>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</si>
  <si>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</si>
  <si>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</si>
  <si>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</si>
  <si>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</si>
  <si>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</si>
  <si>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</si>
  <si>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</si>
  <si>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</si>
  <si>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</si>
  <si>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</si>
  <si>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</si>
  <si>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</si>
  <si>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</si>
  <si>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</si>
  <si>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</si>
  <si>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</si>
  <si>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</si>
  <si>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</si>
  <si>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</si>
  <si>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</si>
  <si>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</si>
  <si>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</si>
  <si>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</si>
  <si>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</si>
  <si>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</si>
  <si>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</si>
  <si>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</si>
  <si>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</si>
  <si>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</si>
  <si>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</si>
  <si>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</si>
  <si>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</si>
  <si>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</si>
  <si>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</si>
  <si>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</si>
  <si>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</si>
  <si>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</si>
  <si>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</si>
  <si>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</si>
  <si>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</si>
  <si>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</si>
  <si>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</si>
  <si>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</si>
  <si>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</si>
  <si>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</si>
  <si>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</si>
  <si>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</si>
  <si>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</si>
  <si>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</si>
  <si>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</si>
  <si>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</si>
  <si>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</si>
  <si>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</si>
  <si>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</si>
  <si>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</si>
  <si>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</si>
  <si>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</si>
  <si>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</si>
  <si>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</si>
  <si>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</si>
  <si>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</si>
  <si>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</si>
  <si>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</si>
  <si>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</si>
  <si>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</si>
  <si>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</si>
  <si>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</si>
  <si>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</si>
  <si>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</si>
  <si>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</si>
  <si>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</si>
  <si>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</si>
  <si>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</si>
  <si>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</si>
  <si>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</si>
  <si>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</si>
  <si>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</si>
  <si>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</si>
  <si>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</si>
  <si>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</si>
  <si>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</si>
  <si>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</si>
  <si>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</si>
  <si>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</si>
  <si>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</si>
  <si>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</si>
  <si>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</si>
  <si>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</si>
  <si>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</si>
  <si>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</si>
  <si>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</si>
  <si>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</si>
  <si>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</si>
  <si>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</si>
  <si>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</si>
  <si>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</si>
  <si>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</si>
  <si>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</si>
  <si>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</si>
  <si>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</si>
  <si>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</si>
  <si>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</si>
  <si>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</si>
  <si>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</si>
  <si>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</si>
  <si>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</si>
  <si>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</si>
  <si>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</si>
  <si>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</si>
  <si>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</si>
  <si>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</si>
  <si>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</si>
  <si>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</si>
  <si>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</si>
  <si>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</si>
  <si>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</si>
  <si>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</si>
  <si>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</si>
  <si>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</si>
  <si>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</si>
  <si>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</si>
  <si>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</si>
  <si>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</si>
  <si>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</si>
  <si>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</si>
  <si>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</si>
  <si>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</si>
  <si>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</si>
  <si>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</si>
  <si>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</si>
  <si>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</si>
  <si>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</si>
  <si>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</si>
  <si>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</si>
  <si>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</si>
  <si>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</si>
  <si>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</si>
  <si>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</si>
  <si>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</si>
  <si>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</si>
  <si>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</si>
  <si>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</si>
  <si>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</si>
  <si>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</si>
  <si>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</si>
  <si>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</si>
  <si>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</si>
  <si>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</si>
  <si>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</si>
  <si>
    <t xml:space="preserve">دنگ سس </t>
  </si>
  <si>
    <t>1405/07/02</t>
  </si>
  <si>
    <t>پچ پچ</t>
  </si>
  <si>
    <t>1405/07/04</t>
  </si>
  <si>
    <t>سیب موز</t>
  </si>
  <si>
    <t>1405/07/06</t>
  </si>
  <si>
    <t>1405/07/07</t>
  </si>
  <si>
    <t>1405/07/10</t>
  </si>
  <si>
    <t>1405/07/14</t>
  </si>
  <si>
    <t>1404/07/16</t>
  </si>
  <si>
    <t>1405/07/17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</si>
</sst>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21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36" zoomScaleNormal="100" workbookViewId="0">
      <selection activeCell="B245" sqref="B24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B257</f>
        <v>2250000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2960000</v>
      </c>
      <c r="B229" s="8">
        <v>96000</v>
      </c>
      <c r="C229" s="8"/>
      <c r="D229" s="1" t="s">
        <v>252</v>
      </c>
      <c r="E229" s="1"/>
    </row>
    <row r="230" spans="1:5" ht="30" customHeight="1" x14ac:dyDescent="0.2">
      <c r="B230" s="9">
        <f>SUM(B210:B229)+B204</f>
        <v>14158500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2960000</v>
      </c>
      <c r="C232" s="12" t="s">
        <v>198</v>
      </c>
      <c r="D232" s="12"/>
    </row>
    <row r="233" spans="1:5" ht="30" customHeight="1" x14ac:dyDescent="0.3">
      <c r="A233" t="s">
        <v>10</v>
      </c>
      <c r="B233" s="2" t="s">
        <v>0</v>
      </c>
      <c r="C233" s="2"/>
    </row>
    <row r="234" spans="1:5" ht="30" customHeight="1" x14ac:dyDescent="0.35">
      <c r="A234" s="3" t="s">
        <v>4</v>
      </c>
      <c r="B234" s="4" t="s">
        <v>3</v>
      </c>
      <c r="C234" s="3" t="s">
        <v>1</v>
      </c>
      <c r="D234" s="5" t="s">
        <v>2</v>
      </c>
      <c r="E234" s="5" t="s">
        <v>7</v>
      </c>
    </row>
    <row r="235" spans="1:5" ht="30" customHeight="1" x14ac:dyDescent="0.2">
      <c r="A235" s="8">
        <f>B232+B235-C235</f>
        <v>3010000</v>
      </c>
      <c r="B235" s="8">
        <v>50000</v>
      </c>
      <c r="C235" s="8"/>
      <c r="D235" s="1" t="s">
        <v>254</v>
      </c>
      <c r="E235" s="1" t="s">
        <v>253</v>
      </c>
    </row>
    <row r="236" spans="1:5" ht="30" customHeight="1" x14ac:dyDescent="0.2">
      <c r="A236" s="8">
        <f>A235+B236-C236</f>
        <v>3235000</v>
      </c>
      <c r="B236" s="8">
        <v>225000</v>
      </c>
      <c r="C236" s="8"/>
      <c r="D236" s="1" t="s">
        <v>143</v>
      </c>
      <c r="E236" s="1" t="s">
        <v>255</v>
      </c>
    </row>
    <row r="237" spans="1:5" ht="30" customHeight="1" x14ac:dyDescent="0.2">
      <c r="A237" s="8">
        <f t="shared" ref="A237:A254" si="10">A236+B237-C237</f>
        <v>3285000</v>
      </c>
      <c r="B237" s="8">
        <v>50000</v>
      </c>
      <c r="C237" s="8"/>
      <c r="D237" s="1" t="s">
        <v>256</v>
      </c>
      <c r="E237" s="1"/>
    </row>
    <row r="238" spans="1:5" ht="30" customHeight="1" x14ac:dyDescent="0.2">
      <c r="A238" s="8">
        <f t="shared" si="10"/>
        <v>3205000</v>
      </c>
      <c r="B238" s="8"/>
      <c r="C238" s="8">
        <v>80000</v>
      </c>
      <c r="D238" s="1" t="s">
        <v>26</v>
      </c>
      <c r="E238" s="1" t="s">
        <v>257</v>
      </c>
    </row>
    <row r="239" spans="1:5" ht="30" customHeight="1" x14ac:dyDescent="0.2">
      <c r="A239" s="8">
        <f t="shared" si="10"/>
        <v>3221000</v>
      </c>
      <c r="B239" s="8">
        <v>16000</v>
      </c>
      <c r="C239" s="8"/>
      <c r="D239" s="1" t="s">
        <v>153</v>
      </c>
      <c r="E239" s="1" t="s">
        <v>258</v>
      </c>
    </row>
    <row r="240" spans="1:5" ht="30" customHeight="1" x14ac:dyDescent="0.2">
      <c r="A240" s="8">
        <f t="shared" si="10"/>
        <v>3285000</v>
      </c>
      <c r="B240" s="8">
        <v>64000</v>
      </c>
      <c r="C240" s="8"/>
      <c r="D240" s="1" t="s">
        <v>153</v>
      </c>
      <c r="E240" s="1" t="s">
        <v>259</v>
      </c>
    </row>
    <row r="241" spans="1:5" ht="30" customHeight="1" x14ac:dyDescent="0.2">
      <c r="A241" s="8">
        <f t="shared" si="10"/>
        <v>3485000</v>
      </c>
      <c r="B241" s="8">
        <v>200000</v>
      </c>
      <c r="C241" s="8"/>
      <c r="D241" s="1" t="s">
        <v>143</v>
      </c>
      <c r="E241" s="1"/>
    </row>
    <row r="242" spans="1:5" ht="30" customHeight="1" x14ac:dyDescent="0.2">
      <c r="A242" s="8">
        <f t="shared" si="10"/>
        <v>1985000</v>
      </c>
      <c r="B242" s="8"/>
      <c r="C242" s="8">
        <v>1500000</v>
      </c>
      <c r="D242" s="1" t="s">
        <v>26</v>
      </c>
      <c r="E242" s="1" t="s">
        <v>260</v>
      </c>
    </row>
    <row r="243" spans="1:5" ht="30" customHeight="1" x14ac:dyDescent="0.2">
      <c r="A243" s="8">
        <f t="shared" si="10"/>
        <v>2025000</v>
      </c>
      <c r="B243" s="8">
        <v>40000</v>
      </c>
      <c r="C243" s="8"/>
      <c r="D243" s="1" t="s">
        <v>153</v>
      </c>
      <c r="E243" s="1" t="s">
        <v>261</v>
      </c>
    </row>
    <row r="244" spans="1:5" ht="30" customHeight="1" x14ac:dyDescent="0.2">
      <c r="A244" s="8">
        <f t="shared" si="10"/>
        <v>2250000</v>
      </c>
      <c r="B244" s="8">
        <v>225000</v>
      </c>
      <c r="C244" s="8"/>
      <c r="D244" s="1" t="s">
        <v>143</v>
      </c>
      <c r="E244" s="1" t="s">
        <v>262</v>
      </c>
    </row>
    <row r="245" spans="1:5" ht="30" customHeight="1" x14ac:dyDescent="0.2">
      <c r="A245" s="8">
        <f t="shared" si="10"/>
        <v>2250000</v>
      </c>
      <c r="B245" s="8"/>
      <c r="C245" s="8"/>
      <c r="D245" s="1"/>
      <c r="E245" s="1"/>
    </row>
    <row r="246" spans="1:5" ht="30" customHeight="1" x14ac:dyDescent="0.2">
      <c r="A246" s="8">
        <f t="shared" si="10"/>
        <v>2250000</v>
      </c>
      <c r="B246" s="8"/>
      <c r="C246" s="8"/>
      <c r="D246" s="1"/>
      <c r="E246" s="1"/>
    </row>
    <row r="247" spans="1:5" ht="30" customHeight="1" x14ac:dyDescent="0.2">
      <c r="A247" s="8">
        <f t="shared" si="10"/>
        <v>2250000</v>
      </c>
      <c r="B247" s="8"/>
      <c r="C247" s="8"/>
      <c r="D247" s="1"/>
      <c r="E247" s="1"/>
    </row>
    <row r="248" spans="1:5" ht="30" customHeight="1" x14ac:dyDescent="0.2">
      <c r="A248" s="8">
        <f t="shared" si="10"/>
        <v>2250000</v>
      </c>
      <c r="B248" s="8"/>
      <c r="C248" s="8"/>
      <c r="D248" s="1"/>
      <c r="E248" s="1"/>
    </row>
    <row r="249" spans="1:5" ht="30" customHeight="1" x14ac:dyDescent="0.2">
      <c r="A249" s="8">
        <f t="shared" si="10"/>
        <v>2250000</v>
      </c>
      <c r="B249" s="8"/>
      <c r="C249" s="8"/>
      <c r="D249" s="1"/>
      <c r="E249" s="1"/>
    </row>
    <row r="250" spans="1:5" ht="30" customHeight="1" x14ac:dyDescent="0.2">
      <c r="A250" s="8">
        <f t="shared" si="10"/>
        <v>2250000</v>
      </c>
      <c r="B250" s="8"/>
      <c r="C250" s="8"/>
      <c r="D250" s="1"/>
      <c r="E250" s="1"/>
    </row>
    <row r="251" spans="1:5" ht="30" customHeight="1" x14ac:dyDescent="0.2">
      <c r="A251" s="8">
        <f t="shared" si="10"/>
        <v>2250000</v>
      </c>
      <c r="B251" s="8"/>
      <c r="C251" s="8"/>
      <c r="D251" s="1"/>
      <c r="E251" s="1"/>
    </row>
    <row r="252" spans="1:5" ht="30" customHeight="1" x14ac:dyDescent="0.2">
      <c r="A252" s="8">
        <f t="shared" si="10"/>
        <v>2250000</v>
      </c>
      <c r="B252" s="8"/>
      <c r="C252" s="8"/>
      <c r="D252" s="1"/>
      <c r="E252" s="1"/>
    </row>
    <row r="253" spans="1:5" ht="30" customHeight="1" x14ac:dyDescent="0.2">
      <c r="A253" s="8">
        <f t="shared" si="10"/>
        <v>2250000</v>
      </c>
      <c r="B253" s="8"/>
      <c r="C253" s="8"/>
      <c r="D253" s="1"/>
      <c r="E253" s="1"/>
    </row>
    <row r="254" spans="1:5" ht="30" customHeight="1" x14ac:dyDescent="0.2">
      <c r="A254" s="8">
        <f t="shared" si="10"/>
        <v>2250000</v>
      </c>
      <c r="B254" s="8"/>
      <c r="C254" s="8"/>
      <c r="D254" s="1"/>
      <c r="E254" s="1"/>
    </row>
    <row r="255" spans="1:5" ht="30" customHeight="1" x14ac:dyDescent="0.2">
      <c r="B255" s="9">
        <f>SUM(B235:B254)+B230</f>
        <v>15028500</v>
      </c>
      <c r="C255" s="9">
        <f>SUM(C235:C254)+C230</f>
        <v>12778500</v>
      </c>
    </row>
    <row r="256" spans="1:5" ht="30" customHeight="1" x14ac:dyDescent="0.2"/>
    <row r="257" spans="2:4" ht="30" customHeight="1" x14ac:dyDescent="0.25">
      <c r="B257" s="10">
        <f>A254</f>
        <v>2250000</v>
      </c>
      <c r="C257" s="12" t="s">
        <v>198</v>
      </c>
      <c r="D257" s="12"/>
    </row>
    <row r="258" spans="2:4" ht="30" customHeight="1" x14ac:dyDescent="0.2"/>
    <row r="259" spans="2:4" ht="30" customHeight="1" x14ac:dyDescent="0.2"/>
    <row r="260" spans="2:4" ht="30" customHeight="1" x14ac:dyDescent="0.2"/>
    <row r="261" spans="2:4" ht="30" customHeight="1" x14ac:dyDescent="0.2"/>
    <row r="262" spans="2:4" ht="30" customHeight="1" x14ac:dyDescent="0.2"/>
    <row r="263" spans="2:4" ht="30" customHeight="1" x14ac:dyDescent="0.2"/>
    <row r="264" spans="2:4" ht="30" customHeight="1" x14ac:dyDescent="0.2"/>
  </sheetData>
  <mergeCells count="7">
    <mergeCell ref="C257:D257"/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20" priority="21" operator="greaterThan">
      <formula>0</formula>
    </cfRule>
    <cfRule type="cellIs" dxfId="19" priority="20" operator="lessThan">
      <formula>0</formula>
    </cfRule>
    <cfRule type="cellIs" dxfId="18" priority="19" operator="lessThanOrEqual">
      <formula>0</formula>
    </cfRule>
  </conditionalFormatting>
  <conditionalFormatting sqref="B128">
    <cfRule type="cellIs" dxfId="17" priority="16" operator="lessThanOrEqual">
      <formula>0</formula>
    </cfRule>
    <cfRule type="cellIs" dxfId="16" priority="17" operator="lessThan">
      <formula>0</formula>
    </cfRule>
    <cfRule type="cellIs" dxfId="15" priority="18" operator="greaterThan">
      <formula>0</formula>
    </cfRule>
  </conditionalFormatting>
  <conditionalFormatting sqref="B154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0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6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57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2026-10-09T14:18:20Z</dcterms:modified>
</cp:coreProperties>
</file>