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1" l="1"/>
  <c r="C230" i="1"/>
  <c r="B230" i="1"/>
  <c r="A210" i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B232" i="1" s="1"/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<sst xmlns="http://schemas.openxmlformats.org/spreadsheetml/2006/main" count="385" uniqueCount="229">
  <si>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</si>
  <si>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</si>
  <si>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</si>
  <si>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</si>
  <si>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</si>
  <si>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</si>
  <si>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</si>
  <si>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</si>
  <si>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</si>
  <si>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</si>
  <si>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</si>
  <si>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</si>
  <si>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</si>
  <si>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</si>
  <si>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</si>
  <si>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</si>
  <si>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</si>
  <si>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</si>
  <si>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</si>
  <si>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</si>
  <si>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</si>
  <si>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</si>
  <si>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</si>
  <si>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</si>
  <si>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</si>
  <si>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</si>
  <si>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</si>
  <si>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</si>
  <si>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</si>
  <si>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</si>
  <si>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</si>
  <si>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</si>
  <si>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</si>
  <si>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</si>
  <si>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</si>
  <si>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</si>
  <si>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</si>
  <si>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</si>
  <si>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</si>
  <si>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</si>
  <si>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</si>
  <si>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</si>
  <si>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</si>
  <si>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</si>
  <si>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</si>
  <si>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</si>
  <si>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</si>
  <si>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</si>
  <si>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</si>
  <si>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</si>
  <si>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</si>
  <si>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</si>
  <si>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</si>
  <si>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</si>
  <si>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</si>
  <si>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</si>
  <si>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</si>
  <si>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</si>
  <si>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</si>
  <si>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</si>
  <si>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</si>
  <si>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</si>
  <si>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</si>
  <si>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</si>
  <si>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</si>
  <si>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</si>
  <si>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</si>
  <si>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</si>
  <si>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</si>
  <si>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</si>
  <si>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</si>
  <si>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</si>
  <si>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</si>
  <si>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</si>
  <si>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</si>
  <si>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</si>
  <si>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</si>
  <si>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</si>
  <si>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</si>
  <si>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</si>
  <si>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</si>
  <si>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</si>
  <si>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</si>
  <si>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</si>
  <si>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</si>
  <si>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</si>
  <si>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</si>
  <si>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</si>
  <si>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</si>
  <si>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</si>
  <si>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</si>
  <si>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</si>
  <si>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</si>
  <si>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</si>
  <si>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</si>
  <si>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</si>
  <si>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</si>
  <si>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</si>
  <si>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</si>
  <si>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</si>
  <si>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</si>
  <si>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</si>
  <si>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</si>
  <si>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</si>
  <si>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</si>
  <si>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</si>
  <si>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</si>
  <si>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</si>
  <si>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</si>
  <si>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</si>
  <si>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</si>
  <si>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</si>
  <si>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</si>
  <si>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</si>
  <si>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</si>
  <si>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</si>
  <si>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</si>
  <si>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</si>
  <si>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</si>
  <si>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</si>
  <si>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</si>
  <si>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</si>
  <si>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</si>
  <si>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</si>
  <si>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</si>
  <si>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</si>
  <si>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</si>
  <si>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</si>
  <si>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</si>
  <si>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</si>
  <si>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</si>
  <si>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</si>
  <si>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</si>
  <si>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</si>
  <si>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</si>
  <si>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</si>
  <si>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</si>
  <si>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</si>
  <si>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</si>
  <si>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</si>
  <si>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</si>
  <si>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</si>
  <si>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</si>
  <si>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</si>
  <si>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</si>
  <si>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</si>
  <si>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</si>
  <si>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</si>
  <si>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</si>
  <si>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</si>
  <si>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</si>
  <si>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</si>
  <si>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</si>
  <si>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</si>
  <si>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</si>
  <si>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</si>
  <si>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</si>
  <si>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</si>
  <si>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</si>
  <si>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</si>
  <si>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</si>
  <si>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</si>
  <si>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</si>
  <si>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</si>
  <si>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</si>
  <si>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</si>
  <si>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</si>
  <si>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</si>
  <si>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</si>
  <si>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</si>
  <si>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</si>
  <si>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</si>
  <si>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</si>
  <si>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</si>
  <si>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</si>
  <si>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</si>
  <si>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</si>
  <si>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</si>
  <si>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</si>
  <si>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</si>
  <si>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</si>
  <si>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</si>
  <si>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</si>
  <si>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</si>
  <si>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</si>
  <si>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</si>
  <si>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</si>
  <si>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</si>
  <si>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</si>
  <si>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</si>
  <si>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</si>
  <si>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</si>
  <si>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</si>
  <si>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</si>
  <si>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</si>
  <si>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</si>
  <si>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</si>
  <si>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</si>
  <si>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</si>
  <si>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</si>
  <si>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</si>
  <si>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</si>
  <si>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</si>
  <si>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</si>
  <si>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</si>
  <si>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</si>
  <si>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</si>
  <si>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</si>
  <si>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</si>
  <si>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</si>
  <si>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</si>
  <si>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</si>
  <si>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</si>
  <si>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</si>
  <si>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</si>
  <si>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</si>
  <si>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</si>
  <si>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</si>
  <si>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</si>
  <si>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</si>
  <si>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</si>
  <si>
    <t>1405/05/10</t>
  </si>
  <si>
    <t>بستنی موزی</t>
  </si>
  <si>
    <t>1405/05/11</t>
  </si>
  <si>
    <t>وجه پول انتخاب واحد</t>
  </si>
  <si>
    <t>1405/05/13</t>
  </si>
  <si>
    <t>گول بازی دنگ باغ دامو مزه</t>
  </si>
  <si>
    <t>1405/05/17</t>
  </si>
  <si>
    <t>کیک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</si>
</sst>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4"/>
  <sheetViews>
    <sheetView tabSelected="1" zoomScaleNormal="100" workbookViewId="0">
      <selection activeCell="H3" sqref="H3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B232</f>
        <v>2908000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3049000</v>
      </c>
      <c r="B201" s="8">
        <v>50000</v>
      </c>
      <c r="C201" s="8"/>
      <c r="D201" s="1" t="s">
        <v>222</v>
      </c>
      <c r="E201" s="1" t="s">
        <v>221</v>
      </c>
    </row>
    <row r="202" spans="1:5" ht="28.5" customHeight="1" x14ac:dyDescent="0.2">
      <c r="A202" s="8">
        <f t="shared" si="8"/>
        <v>2549000</v>
      </c>
      <c r="B202" s="8"/>
      <c r="C202" s="8">
        <v>500000</v>
      </c>
      <c r="D202" s="1" t="s">
        <v>224</v>
      </c>
      <c r="E202" s="1" t="s">
        <v>223</v>
      </c>
    </row>
    <row r="203" spans="1:5" ht="28.5" customHeight="1" x14ac:dyDescent="0.2">
      <c r="A203" s="8">
        <f t="shared" si="8"/>
        <v>2808000</v>
      </c>
      <c r="B203" s="8">
        <v>259000</v>
      </c>
      <c r="C203" s="8"/>
      <c r="D203" s="1" t="s">
        <v>226</v>
      </c>
      <c r="E203" s="1" t="s">
        <v>225</v>
      </c>
    </row>
    <row r="204" spans="1:5" ht="28.5" customHeight="1" x14ac:dyDescent="0.2">
      <c r="B204" s="9">
        <f>SUM(B184:B203)+B178</f>
        <v>12006500</v>
      </c>
      <c r="C204" s="9">
        <f>SUM(C184:C203)+C178</f>
        <v>9198500</v>
      </c>
    </row>
    <row r="205" spans="1:5" ht="28.5" customHeight="1" x14ac:dyDescent="0.2"/>
    <row r="206" spans="1:5" ht="28.5" customHeight="1" x14ac:dyDescent="0.25">
      <c r="B206" s="10">
        <f>A203</f>
        <v>2808000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3">
      <c r="A208" t="s">
        <v>10</v>
      </c>
      <c r="B208" s="2" t="s">
        <v>0</v>
      </c>
      <c r="C208" s="2"/>
    </row>
    <row r="209" spans="1:5" ht="28.5" customHeight="1" x14ac:dyDescent="0.35">
      <c r="A209" s="3" t="s">
        <v>4</v>
      </c>
      <c r="B209" s="4" t="s">
        <v>3</v>
      </c>
      <c r="C209" s="3" t="s">
        <v>1</v>
      </c>
      <c r="D209" s="5" t="s">
        <v>2</v>
      </c>
      <c r="E209" s="5" t="s">
        <v>7</v>
      </c>
    </row>
    <row r="210" spans="1:5" ht="28.5" customHeight="1" x14ac:dyDescent="0.2">
      <c r="A210" s="8">
        <f>B206+B210-C210</f>
        <v>2908000</v>
      </c>
      <c r="B210" s="8">
        <v>100000</v>
      </c>
      <c r="C210" s="8"/>
      <c r="D210" s="1" t="s">
        <v>228</v>
      </c>
      <c r="E210" s="1" t="s">
        <v>227</v>
      </c>
    </row>
    <row r="211" spans="1:5" ht="28.5" customHeight="1" x14ac:dyDescent="0.2">
      <c r="A211" s="8">
        <f>A210+B211-C211</f>
        <v>2908000</v>
      </c>
      <c r="B211" s="8"/>
      <c r="C211" s="8"/>
      <c r="D211" s="1"/>
      <c r="E211" s="1"/>
    </row>
    <row r="212" spans="1:5" ht="28.5" customHeight="1" x14ac:dyDescent="0.2">
      <c r="A212" s="8">
        <f t="shared" ref="A212:A229" si="9">A211+B212-C212</f>
        <v>2908000</v>
      </c>
      <c r="B212" s="8"/>
      <c r="C212" s="8"/>
      <c r="D212" s="1"/>
      <c r="E212" s="1"/>
    </row>
    <row r="213" spans="1:5" ht="30" customHeight="1" x14ac:dyDescent="0.2">
      <c r="A213" s="8">
        <f t="shared" si="9"/>
        <v>2908000</v>
      </c>
      <c r="B213" s="8"/>
      <c r="C213" s="8"/>
      <c r="D213" s="1"/>
      <c r="E213" s="1"/>
    </row>
    <row r="214" spans="1:5" ht="30" customHeight="1" x14ac:dyDescent="0.2">
      <c r="A214" s="8">
        <f t="shared" si="9"/>
        <v>2908000</v>
      </c>
      <c r="B214" s="8"/>
      <c r="C214" s="8"/>
      <c r="D214" s="1"/>
      <c r="E214" s="1"/>
    </row>
    <row r="215" spans="1:5" ht="30" customHeight="1" x14ac:dyDescent="0.2">
      <c r="A215" s="8">
        <f t="shared" si="9"/>
        <v>2908000</v>
      </c>
      <c r="B215" s="8"/>
      <c r="C215" s="8"/>
      <c r="D215" s="1"/>
      <c r="E215" s="1"/>
    </row>
    <row r="216" spans="1:5" ht="30" customHeight="1" x14ac:dyDescent="0.2">
      <c r="A216" s="8">
        <f t="shared" si="9"/>
        <v>2908000</v>
      </c>
      <c r="B216" s="8"/>
      <c r="C216" s="8"/>
      <c r="D216" s="1"/>
      <c r="E216" s="1"/>
    </row>
    <row r="217" spans="1:5" ht="30" customHeight="1" x14ac:dyDescent="0.2">
      <c r="A217" s="8">
        <f t="shared" si="9"/>
        <v>2908000</v>
      </c>
      <c r="B217" s="8"/>
      <c r="C217" s="8"/>
      <c r="D217" s="1"/>
      <c r="E217" s="1"/>
    </row>
    <row r="218" spans="1:5" ht="30" customHeight="1" x14ac:dyDescent="0.2">
      <c r="A218" s="8">
        <f t="shared" si="9"/>
        <v>2908000</v>
      </c>
      <c r="B218" s="8"/>
      <c r="C218" s="8"/>
      <c r="D218" s="1"/>
      <c r="E218" s="1"/>
    </row>
    <row r="219" spans="1:5" ht="30" customHeight="1" x14ac:dyDescent="0.2">
      <c r="A219" s="8">
        <f t="shared" si="9"/>
        <v>2908000</v>
      </c>
      <c r="B219" s="8"/>
      <c r="C219" s="8"/>
      <c r="D219" s="1"/>
      <c r="E219" s="1"/>
    </row>
    <row r="220" spans="1:5" ht="30" customHeight="1" x14ac:dyDescent="0.2">
      <c r="A220" s="8">
        <f t="shared" si="9"/>
        <v>2908000</v>
      </c>
      <c r="B220" s="8"/>
      <c r="C220" s="8"/>
      <c r="D220" s="1"/>
      <c r="E220" s="1"/>
    </row>
    <row r="221" spans="1:5" ht="30" customHeight="1" x14ac:dyDescent="0.2">
      <c r="A221" s="8">
        <f t="shared" si="9"/>
        <v>2908000</v>
      </c>
      <c r="B221" s="8"/>
      <c r="C221" s="8"/>
      <c r="D221" s="1"/>
      <c r="E221" s="1"/>
    </row>
    <row r="222" spans="1:5" ht="30" customHeight="1" x14ac:dyDescent="0.2">
      <c r="A222" s="8">
        <f t="shared" si="9"/>
        <v>2908000</v>
      </c>
      <c r="B222" s="8"/>
      <c r="C222" s="8"/>
      <c r="D222" s="1"/>
      <c r="E222" s="1"/>
    </row>
    <row r="223" spans="1:5" ht="30" customHeight="1" x14ac:dyDescent="0.2">
      <c r="A223" s="8">
        <f t="shared" si="9"/>
        <v>2908000</v>
      </c>
      <c r="B223" s="8"/>
      <c r="C223" s="8"/>
      <c r="D223" s="1"/>
      <c r="E223" s="1"/>
    </row>
    <row r="224" spans="1:5" ht="30" customHeight="1" x14ac:dyDescent="0.2">
      <c r="A224" s="8">
        <f t="shared" si="9"/>
        <v>2908000</v>
      </c>
      <c r="B224" s="8"/>
      <c r="C224" s="8"/>
      <c r="D224" s="1"/>
      <c r="E224" s="1"/>
    </row>
    <row r="225" spans="1:5" ht="30" customHeight="1" x14ac:dyDescent="0.2">
      <c r="A225" s="8">
        <f t="shared" si="9"/>
        <v>2908000</v>
      </c>
      <c r="B225" s="8"/>
      <c r="C225" s="8"/>
      <c r="D225" s="1"/>
      <c r="E225" s="1"/>
    </row>
    <row r="226" spans="1:5" ht="30" customHeight="1" x14ac:dyDescent="0.2">
      <c r="A226" s="8">
        <f t="shared" si="9"/>
        <v>2908000</v>
      </c>
      <c r="B226" s="8"/>
      <c r="C226" s="8"/>
      <c r="D226" s="1"/>
      <c r="E226" s="1"/>
    </row>
    <row r="227" spans="1:5" ht="30" customHeight="1" x14ac:dyDescent="0.2">
      <c r="A227" s="8">
        <f t="shared" si="9"/>
        <v>2908000</v>
      </c>
      <c r="B227" s="8"/>
      <c r="C227" s="8"/>
      <c r="D227" s="1"/>
      <c r="E227" s="1"/>
    </row>
    <row r="228" spans="1:5" ht="30" customHeight="1" x14ac:dyDescent="0.2">
      <c r="A228" s="8">
        <f t="shared" si="9"/>
        <v>2908000</v>
      </c>
      <c r="B228" s="8"/>
      <c r="C228" s="8"/>
      <c r="D228" s="1"/>
      <c r="E228" s="1"/>
    </row>
    <row r="229" spans="1:5" ht="30" customHeight="1" x14ac:dyDescent="0.2">
      <c r="A229" s="8">
        <f t="shared" si="9"/>
        <v>2908000</v>
      </c>
      <c r="B229" s="8"/>
      <c r="C229" s="8"/>
      <c r="D229" s="1"/>
      <c r="E229" s="1"/>
    </row>
    <row r="230" spans="1:5" ht="30" customHeight="1" x14ac:dyDescent="0.2">
      <c r="B230" s="9">
        <f>SUM(B210:B229)+B204</f>
        <v>12106500</v>
      </c>
      <c r="C230" s="9">
        <f>SUM(C210:C229)+C204</f>
        <v>9198500</v>
      </c>
    </row>
    <row r="231" spans="1:5" ht="30" customHeight="1" x14ac:dyDescent="0.2"/>
    <row r="232" spans="1:5" ht="30" customHeight="1" x14ac:dyDescent="0.25">
      <c r="B232" s="10">
        <f>A229</f>
        <v>2908000</v>
      </c>
      <c r="C232" s="12" t="s">
        <v>198</v>
      </c>
      <c r="D232" s="12"/>
    </row>
    <row r="233" spans="1:5" ht="30" customHeight="1" x14ac:dyDescent="0.2">
      <c r="B233" t="s">
        <v>88</v>
      </c>
      <c r="D233" t="s">
        <v>87</v>
      </c>
    </row>
    <row r="234" spans="1:5" ht="30" customHeight="1" x14ac:dyDescent="0.2"/>
    <row r="235" spans="1:5" ht="30" customHeight="1" x14ac:dyDescent="0.2"/>
    <row r="236" spans="1:5" ht="30" customHeight="1" x14ac:dyDescent="0.2"/>
    <row r="237" spans="1:5" ht="30" customHeight="1" x14ac:dyDescent="0.2"/>
    <row r="238" spans="1:5" ht="30" customHeight="1" x14ac:dyDescent="0.2"/>
    <row r="239" spans="1:5" ht="30" customHeight="1" x14ac:dyDescent="0.2"/>
    <row r="240" spans="1:5" ht="30" customHeight="1" x14ac:dyDescent="0.2"/>
    <row r="241" ht="30" customHeight="1" x14ac:dyDescent="0.2"/>
    <row r="242" ht="30" customHeight="1" x14ac:dyDescent="0.2"/>
    <row r="243" ht="30" customHeight="1" x14ac:dyDescent="0.2"/>
    <row r="244" ht="30" customHeight="1" x14ac:dyDescent="0.2"/>
    <row r="245" ht="30" customHeight="1" x14ac:dyDescent="0.2"/>
    <row r="246" ht="30" customHeight="1" x14ac:dyDescent="0.2"/>
    <row r="247" ht="30" customHeight="1" x14ac:dyDescent="0.2"/>
    <row r="248" ht="30" customHeight="1" x14ac:dyDescent="0.2"/>
    <row r="249" ht="30" customHeight="1" x14ac:dyDescent="0.2"/>
    <row r="250" ht="30" customHeight="1" x14ac:dyDescent="0.2"/>
    <row r="251" ht="30" customHeight="1" x14ac:dyDescent="0.2"/>
    <row r="252" ht="30" customHeight="1" x14ac:dyDescent="0.2"/>
    <row r="253" ht="30" customHeight="1" x14ac:dyDescent="0.2"/>
    <row r="254" ht="30" customHeight="1" x14ac:dyDescent="0.2"/>
    <row r="255" ht="30" customHeight="1" x14ac:dyDescent="0.2"/>
    <row r="256" ht="30" customHeight="1" x14ac:dyDescent="0.2"/>
    <row r="257" ht="30" customHeight="1" x14ac:dyDescent="0.2"/>
    <row r="258" ht="30" customHeight="1" x14ac:dyDescent="0.2"/>
    <row r="259" ht="30" customHeight="1" x14ac:dyDescent="0.2"/>
    <row r="260" ht="30" customHeight="1" x14ac:dyDescent="0.2"/>
    <row r="261" ht="30" customHeight="1" x14ac:dyDescent="0.2"/>
    <row r="262" ht="30" customHeight="1" x14ac:dyDescent="0.2"/>
    <row r="263" ht="30" customHeight="1" x14ac:dyDescent="0.2"/>
    <row r="264" ht="30" customHeight="1" x14ac:dyDescent="0.2"/>
  </sheetData>
  <mergeCells count="6">
    <mergeCell ref="C232:D232"/>
    <mergeCell ref="C102:D102"/>
    <mergeCell ref="C128:D128"/>
    <mergeCell ref="C154:D154"/>
    <mergeCell ref="C180:D180"/>
    <mergeCell ref="C206:D206"/>
  </mergeCells>
  <conditionalFormatting sqref="B102">
    <cfRule type="cellIs" dxfId="17" priority="18" operator="greaterThan">
      <formula>0</formula>
    </cfRule>
    <cfRule type="cellIs" dxfId="16" priority="17" operator="lessThan">
      <formula>0</formula>
    </cfRule>
    <cfRule type="cellIs" dxfId="15" priority="16" operator="lessThanOrEqual">
      <formula>0</formula>
    </cfRule>
  </conditionalFormatting>
  <conditionalFormatting sqref="B128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54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80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06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32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2026-08-08T16:44:20Z</dcterms:modified>
</cp:coreProperties>
</file>