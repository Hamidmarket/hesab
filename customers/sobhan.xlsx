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3" i="1" l="1"/>
  <c r="A43" i="1"/>
  <c r="A44" i="1"/>
  <c r="A45" i="1" s="1"/>
  <c r="A46" i="1" s="1"/>
  <c r="A47" i="1" s="1"/>
  <c r="A48" i="1" s="1"/>
  <c r="A49" i="1" s="1"/>
  <c r="A50" i="1" s="1"/>
  <c r="A51" i="1" s="1"/>
  <c r="A52" i="1" s="1"/>
  <c r="A42" i="1"/>
  <c r="A41" i="1"/>
  <c r="A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54" i="1" l="1"/>
  <c r="B54" i="1"/>
  <c r="B35" i="1" l="1"/>
  <c r="C35" i="1"/>
  <c r="B16" i="1" l="1"/>
  <c r="C16" i="1" l="1"/>
  <c r="C17" i="1" l="1"/>
  <c r="C36" i="1" s="1"/>
  <c r="C55" i="1" s="1"/>
</calcChain>
</file>

<file path=xl/sharedStrings.xml><?xml version="1.0" encoding="utf-8"?>
<sst xmlns="http://schemas.openxmlformats.org/spreadsheetml/2006/main" count="99" uniqueCount="73">
  <si>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</si>
  <si>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</si>
  <si>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</si>
  <si>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</si>
  <si>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</si>
  <si>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</si>
  <si>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</si>
  <si>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</si>
  <si>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سند افتتاحیه مانده از قبل</t>
  </si>
  <si>
    <t>وجه از اول تا اخر حساب</t>
  </si>
  <si>
    <t>رانی ادامس</t>
  </si>
  <si>
    <t>سبحان ترابی</t>
  </si>
  <si>
    <t>احتساب اخرین فاکتور :</t>
  </si>
  <si>
    <t xml:space="preserve">      بدهی کل با </t>
  </si>
  <si>
    <t>1404/01/26</t>
  </si>
  <si>
    <t>کمپوت اناناس</t>
  </si>
  <si>
    <t xml:space="preserve">وجه   </t>
  </si>
  <si>
    <t>1404/02/27</t>
  </si>
  <si>
    <t xml:space="preserve">شیر جو دوسر </t>
  </si>
  <si>
    <t>1404/01/28</t>
  </si>
  <si>
    <t xml:space="preserve"> شیر سیگار</t>
  </si>
  <si>
    <t>1404/02/02</t>
  </si>
  <si>
    <t>شیر قارچ</t>
  </si>
  <si>
    <t>1404/02/04</t>
  </si>
  <si>
    <t xml:space="preserve">شیر </t>
  </si>
  <si>
    <t>چیپس</t>
  </si>
  <si>
    <t>بستنی</t>
  </si>
  <si>
    <t>1404/02/12</t>
  </si>
  <si>
    <t xml:space="preserve">قارچ شیر </t>
  </si>
  <si>
    <t>1404/02/15</t>
  </si>
  <si>
    <t>سیگار بیسکوییت</t>
  </si>
  <si>
    <t>1404/02.15</t>
  </si>
  <si>
    <t xml:space="preserve">بیسکوییت میلاد </t>
  </si>
  <si>
    <t>1404/02/16</t>
  </si>
  <si>
    <t>شیر</t>
  </si>
  <si>
    <t>1404/02/18</t>
  </si>
  <si>
    <t>سیگار بستنی</t>
  </si>
  <si>
    <t>1404/02/19</t>
  </si>
  <si>
    <t>1404/02/22</t>
  </si>
  <si>
    <t>لیموناد کیک</t>
  </si>
  <si>
    <t>1404/02/23</t>
  </si>
  <si>
    <t>شیر الاسکا</t>
  </si>
  <si>
    <t>1404/02/25</t>
  </si>
  <si>
    <t>چیپس ابمیوه</t>
  </si>
  <si>
    <t>1404/03/01</t>
  </si>
  <si>
    <t>بستنی سالار</t>
  </si>
  <si>
    <t>1404/03/03</t>
  </si>
  <si>
    <t>ابمیوه شیرین عسل</t>
  </si>
  <si>
    <t>1404/03\/7</t>
  </si>
  <si>
    <t>شیر چیپس</t>
  </si>
  <si>
    <t>1404/03/08</t>
  </si>
  <si>
    <t>تخم مرغ</t>
  </si>
  <si>
    <t>1404/03/20</t>
  </si>
  <si>
    <t xml:space="preserve">چیپس بادام </t>
  </si>
  <si>
    <t>1404/03/22</t>
  </si>
  <si>
    <t xml:space="preserve">چیپی لواشک </t>
  </si>
  <si>
    <t>1404/03/23</t>
  </si>
  <si>
    <t>تخمه لواشک</t>
  </si>
  <si>
    <t>1404/03/25</t>
  </si>
  <si>
    <t xml:space="preserve">بستنی </t>
  </si>
  <si>
    <t>1404/03/27</t>
  </si>
  <si>
    <t>معجون</t>
  </si>
  <si>
    <t>1404/03/29</t>
  </si>
  <si>
    <t xml:space="preserve">تخمه  </t>
  </si>
  <si>
    <t>1404/04/05</t>
  </si>
  <si>
    <t>لواشک</t>
  </si>
  <si>
    <t>1404/04/06</t>
  </si>
  <si>
    <t>1404/04/27</t>
  </si>
  <si>
    <t>وجه</t>
  </si>
  <si>
    <t>1404/06/15</t>
  </si>
  <si>
    <t>1404/07/25</t>
  </si>
  <si>
    <t>1404/10/06</t>
  </si>
  <si>
    <t>سیگار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</si>
</sst>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0" fontId="7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1" fillId="0" borderId="0" xfId="0" applyNumberFormat="1" applyFont="1"/>
    <xf numFmtId="3" fontId="3" fillId="0" borderId="1" xfId="0" applyNumberFormat="1" applyFont="1" applyBorder="1"/>
    <xf numFmtId="3" fontId="4" fillId="0" borderId="1" xfId="0" applyNumberFormat="1" applyFont="1" applyBorder="1"/>
    <xf numFmtId="3" fontId="1" fillId="0" borderId="0" xfId="0" applyNumberFormat="1" applyFont="1" applyFill="1"/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topLeftCell="A50" zoomScaleNormal="100" workbookViewId="0">
      <selection activeCell="I43" sqref="I43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5" ht="42" customHeight="1" x14ac:dyDescent="0.3">
      <c r="A1" t="s">
        <v>11</v>
      </c>
      <c r="B1" s="2" t="s">
        <v>0</v>
      </c>
      <c r="C1" s="2"/>
    </row>
    <row r="2" spans="1:5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</row>
    <row r="3" spans="1:5" ht="42.75" customHeight="1" x14ac:dyDescent="0.2">
      <c r="A3" s="10">
        <f xml:space="preserve"> B3</f>
        <v>994000</v>
      </c>
      <c r="B3" s="10">
        <v>994000</v>
      </c>
      <c r="C3" s="10"/>
      <c r="D3" s="1" t="s">
        <v>8</v>
      </c>
      <c r="E3" s="1"/>
    </row>
    <row r="4" spans="1:5" ht="43.5" customHeight="1" x14ac:dyDescent="0.2">
      <c r="A4" s="10">
        <f xml:space="preserve"> A3 + B4-C4</f>
        <v>527000</v>
      </c>
      <c r="B4" s="10"/>
      <c r="C4" s="10">
        <v>467000</v>
      </c>
      <c r="D4" s="1" t="s">
        <v>9</v>
      </c>
      <c r="E4" s="1"/>
    </row>
    <row r="5" spans="1:5" ht="43.5" customHeight="1" x14ac:dyDescent="0.2">
      <c r="A5" s="10">
        <f t="shared" ref="A5:A15" si="0" xml:space="preserve"> A4 + B5-C5</f>
        <v>564000</v>
      </c>
      <c r="B5" s="10">
        <v>37000</v>
      </c>
      <c r="C5" s="10"/>
      <c r="D5" s="1" t="s">
        <v>10</v>
      </c>
      <c r="E5" s="7">
        <v>38012</v>
      </c>
    </row>
    <row r="6" spans="1:5" ht="42.75" customHeight="1" x14ac:dyDescent="0.2">
      <c r="A6" s="10">
        <f t="shared" si="0"/>
        <v>684000</v>
      </c>
      <c r="B6" s="10">
        <v>120000</v>
      </c>
      <c r="C6" s="10"/>
      <c r="D6" s="1" t="s">
        <v>15</v>
      </c>
      <c r="E6" s="1" t="s">
        <v>14</v>
      </c>
    </row>
    <row r="7" spans="1:5" ht="43.5" customHeight="1" x14ac:dyDescent="0.2">
      <c r="A7" s="10">
        <f t="shared" si="0"/>
        <v>534000</v>
      </c>
      <c r="B7" s="10"/>
      <c r="C7" s="10">
        <v>150000</v>
      </c>
      <c r="D7" s="1" t="s">
        <v>16</v>
      </c>
      <c r="E7" s="1" t="s">
        <v>14</v>
      </c>
    </row>
    <row r="8" spans="1:5" ht="42.75" customHeight="1" x14ac:dyDescent="0.2">
      <c r="A8" s="10">
        <f t="shared" si="0"/>
        <v>631000</v>
      </c>
      <c r="B8" s="10">
        <v>97000</v>
      </c>
      <c r="C8" s="10"/>
      <c r="D8" s="1" t="s">
        <v>18</v>
      </c>
      <c r="E8" s="1" t="s">
        <v>17</v>
      </c>
    </row>
    <row r="9" spans="1:5" ht="43.5" customHeight="1" x14ac:dyDescent="0.2">
      <c r="A9" s="10">
        <f t="shared" si="0"/>
        <v>700000</v>
      </c>
      <c r="B9" s="10">
        <v>69000</v>
      </c>
      <c r="C9" s="10"/>
      <c r="D9" s="1" t="s">
        <v>20</v>
      </c>
      <c r="E9" s="1" t="s">
        <v>19</v>
      </c>
    </row>
    <row r="10" spans="1:5" ht="43.5" customHeight="1" x14ac:dyDescent="0.2">
      <c r="A10" s="10">
        <f t="shared" si="0"/>
        <v>828500</v>
      </c>
      <c r="B10" s="10">
        <v>128500</v>
      </c>
      <c r="C10" s="10"/>
      <c r="D10" s="1" t="s">
        <v>22</v>
      </c>
      <c r="E10" s="1" t="s">
        <v>21</v>
      </c>
    </row>
    <row r="11" spans="1:5" ht="42.75" customHeight="1" x14ac:dyDescent="0.2">
      <c r="A11" s="10">
        <f t="shared" si="0"/>
        <v>883500</v>
      </c>
      <c r="B11" s="10">
        <v>55000</v>
      </c>
      <c r="C11" s="10"/>
      <c r="D11" s="1" t="s">
        <v>24</v>
      </c>
      <c r="E11" s="1" t="s">
        <v>23</v>
      </c>
    </row>
    <row r="12" spans="1:5" ht="42" customHeight="1" x14ac:dyDescent="0.2">
      <c r="A12" s="10">
        <f t="shared" si="0"/>
        <v>908500</v>
      </c>
      <c r="B12" s="10">
        <v>25000</v>
      </c>
      <c r="C12" s="10"/>
      <c r="D12" s="1" t="s">
        <v>25</v>
      </c>
      <c r="E12" s="7">
        <v>38023</v>
      </c>
    </row>
    <row r="13" spans="1:5" ht="43.5" customHeight="1" x14ac:dyDescent="0.2">
      <c r="A13" s="10">
        <f t="shared" si="0"/>
        <v>933500</v>
      </c>
      <c r="B13" s="10">
        <v>25000</v>
      </c>
      <c r="C13" s="10"/>
      <c r="D13" s="1" t="s">
        <v>26</v>
      </c>
      <c r="E13" s="7">
        <v>38024</v>
      </c>
    </row>
    <row r="14" spans="1:5" ht="42" customHeight="1" x14ac:dyDescent="0.2">
      <c r="A14" s="10">
        <f t="shared" si="0"/>
        <v>1048500</v>
      </c>
      <c r="B14" s="10">
        <v>115000</v>
      </c>
      <c r="C14" s="10"/>
      <c r="D14" s="1" t="s">
        <v>28</v>
      </c>
      <c r="E14" s="1" t="s">
        <v>27</v>
      </c>
    </row>
    <row r="15" spans="1:5" ht="42.75" customHeight="1" x14ac:dyDescent="0.2">
      <c r="A15" s="10">
        <f t="shared" si="0"/>
        <v>1148500</v>
      </c>
      <c r="B15" s="10">
        <v>100000</v>
      </c>
      <c r="C15" s="10"/>
      <c r="D15" s="1" t="s">
        <v>30</v>
      </c>
      <c r="E15" s="1" t="s">
        <v>29</v>
      </c>
    </row>
    <row r="16" spans="1:5" ht="15" customHeight="1" x14ac:dyDescent="0.2">
      <c r="A16" s="11"/>
      <c r="B16" s="11">
        <f xml:space="preserve"> B3 + B4 + B5 + B6 + B7 + B8 + B9 +B10 + B11 + B12 + B13 + B14 + B15</f>
        <v>1765500</v>
      </c>
      <c r="C16" s="11">
        <f xml:space="preserve"> C3 + C4 + C5 + C6 + C7 + C8 + C9 + C10 + C11 + C12 + C13 + C14 + C15</f>
        <v>617000</v>
      </c>
    </row>
    <row r="17" spans="1:5" ht="43.5" customHeight="1" x14ac:dyDescent="0.2">
      <c r="A17" s="11"/>
      <c r="B17" s="11"/>
      <c r="C17" s="11">
        <f xml:space="preserve"> A15</f>
        <v>1148500</v>
      </c>
      <c r="D17" s="8" t="s">
        <v>12</v>
      </c>
      <c r="E17" s="9" t="s">
        <v>13</v>
      </c>
    </row>
    <row r="18" spans="1:5" ht="45" customHeight="1" x14ac:dyDescent="0.25">
      <c r="A18" s="12" t="s">
        <v>6</v>
      </c>
      <c r="B18" s="11"/>
      <c r="C18" s="11"/>
      <c r="D18" s="6" t="s">
        <v>5</v>
      </c>
    </row>
    <row r="19" spans="1:5" x14ac:dyDescent="0.2">
      <c r="A19" s="11"/>
      <c r="B19" s="11"/>
      <c r="C19" s="11"/>
    </row>
    <row r="20" spans="1:5" ht="43.5" customHeight="1" x14ac:dyDescent="0.3">
      <c r="A20" s="11" t="s">
        <v>11</v>
      </c>
      <c r="B20" s="13" t="s">
        <v>0</v>
      </c>
      <c r="C20" s="13"/>
    </row>
    <row r="21" spans="1:5" ht="42" customHeight="1" x14ac:dyDescent="0.35">
      <c r="A21" s="14" t="s">
        <v>4</v>
      </c>
      <c r="B21" s="15" t="s">
        <v>3</v>
      </c>
      <c r="C21" s="14" t="s">
        <v>1</v>
      </c>
      <c r="D21" s="5" t="s">
        <v>2</v>
      </c>
      <c r="E21" s="5" t="s">
        <v>7</v>
      </c>
    </row>
    <row r="22" spans="1:5" ht="42" customHeight="1" x14ac:dyDescent="0.2">
      <c r="A22" s="10">
        <f xml:space="preserve"> C17+B22-C22</f>
        <v>1170500</v>
      </c>
      <c r="B22" s="10">
        <v>22000</v>
      </c>
      <c r="C22" s="10"/>
      <c r="D22" s="1" t="s">
        <v>32</v>
      </c>
      <c r="E22" s="1" t="s">
        <v>31</v>
      </c>
    </row>
    <row r="23" spans="1:5" ht="43.5" customHeight="1" x14ac:dyDescent="0.2">
      <c r="A23" s="10">
        <f xml:space="preserve"> A22 + B23-C23</f>
        <v>1225500</v>
      </c>
      <c r="B23" s="10">
        <v>55000</v>
      </c>
      <c r="C23" s="10"/>
      <c r="D23" s="1" t="s">
        <v>34</v>
      </c>
      <c r="E23" s="1" t="s">
        <v>33</v>
      </c>
    </row>
    <row r="24" spans="1:5" ht="42" customHeight="1" x14ac:dyDescent="0.2">
      <c r="A24" s="10">
        <f t="shared" ref="A24:A34" si="1" xml:space="preserve"> A23 + B24-C24</f>
        <v>1245500</v>
      </c>
      <c r="B24" s="10">
        <v>20000</v>
      </c>
      <c r="C24" s="10"/>
      <c r="D24" s="1" t="s">
        <v>36</v>
      </c>
      <c r="E24" s="7" t="s">
        <v>35</v>
      </c>
    </row>
    <row r="25" spans="1:5" ht="39.75" customHeight="1" x14ac:dyDescent="0.2">
      <c r="A25" s="10">
        <f t="shared" si="1"/>
        <v>1300500</v>
      </c>
      <c r="B25" s="10">
        <v>55000</v>
      </c>
      <c r="C25" s="10"/>
      <c r="D25" s="1" t="s">
        <v>34</v>
      </c>
      <c r="E25" s="1" t="s">
        <v>37</v>
      </c>
    </row>
    <row r="26" spans="1:5" ht="41.25" customHeight="1" x14ac:dyDescent="0.2">
      <c r="A26" s="10">
        <f t="shared" si="1"/>
        <v>1340500</v>
      </c>
      <c r="B26" s="10">
        <v>40000</v>
      </c>
      <c r="C26" s="10"/>
      <c r="D26" s="1" t="s">
        <v>39</v>
      </c>
      <c r="E26" s="1" t="s">
        <v>38</v>
      </c>
    </row>
    <row r="27" spans="1:5" ht="42.75" customHeight="1" x14ac:dyDescent="0.2">
      <c r="A27" s="10">
        <f t="shared" si="1"/>
        <v>1430000</v>
      </c>
      <c r="B27" s="10">
        <v>89500</v>
      </c>
      <c r="C27" s="10"/>
      <c r="D27" s="1" t="s">
        <v>41</v>
      </c>
      <c r="E27" s="1" t="s">
        <v>40</v>
      </c>
    </row>
    <row r="28" spans="1:5" ht="42" customHeight="1" x14ac:dyDescent="0.2">
      <c r="A28" s="10">
        <f t="shared" si="1"/>
        <v>1480000</v>
      </c>
      <c r="B28" s="10">
        <v>50000</v>
      </c>
      <c r="C28" s="10"/>
      <c r="D28" s="1" t="s">
        <v>45</v>
      </c>
      <c r="E28" s="1" t="s">
        <v>44</v>
      </c>
    </row>
    <row r="29" spans="1:5" ht="44.25" customHeight="1" x14ac:dyDescent="0.2">
      <c r="A29" s="10">
        <f t="shared" si="1"/>
        <v>1532000</v>
      </c>
      <c r="B29" s="10">
        <v>52000</v>
      </c>
      <c r="C29" s="10"/>
      <c r="D29" s="1" t="s">
        <v>43</v>
      </c>
      <c r="E29" s="1" t="s">
        <v>42</v>
      </c>
    </row>
    <row r="30" spans="1:5" ht="44.25" customHeight="1" x14ac:dyDescent="0.2">
      <c r="A30" s="10">
        <f t="shared" si="1"/>
        <v>1564000</v>
      </c>
      <c r="B30" s="10">
        <v>32000</v>
      </c>
      <c r="C30" s="10"/>
      <c r="D30" s="1" t="s">
        <v>47</v>
      </c>
      <c r="E30" s="1" t="s">
        <v>46</v>
      </c>
    </row>
    <row r="31" spans="1:5" ht="42" customHeight="1" x14ac:dyDescent="0.2">
      <c r="A31" s="10">
        <f t="shared" si="1"/>
        <v>1669000</v>
      </c>
      <c r="B31" s="10">
        <v>105000</v>
      </c>
      <c r="C31" s="10"/>
      <c r="D31" s="1" t="s">
        <v>49</v>
      </c>
      <c r="E31" s="7" t="s">
        <v>48</v>
      </c>
    </row>
    <row r="32" spans="1:5" ht="42.75" customHeight="1" x14ac:dyDescent="0.2">
      <c r="A32" s="10">
        <f t="shared" si="1"/>
        <v>1746000</v>
      </c>
      <c r="B32" s="10">
        <v>77000</v>
      </c>
      <c r="C32" s="10"/>
      <c r="D32" s="1" t="s">
        <v>51</v>
      </c>
      <c r="E32" s="7" t="s">
        <v>50</v>
      </c>
    </row>
    <row r="33" spans="1:5" ht="42.75" customHeight="1" x14ac:dyDescent="0.2">
      <c r="A33" s="10">
        <f t="shared" si="1"/>
        <v>1806000</v>
      </c>
      <c r="B33" s="10">
        <v>60000</v>
      </c>
      <c r="C33" s="10"/>
      <c r="D33" s="1" t="s">
        <v>53</v>
      </c>
      <c r="E33" s="1" t="s">
        <v>52</v>
      </c>
    </row>
    <row r="34" spans="1:5" ht="45" customHeight="1" x14ac:dyDescent="0.2">
      <c r="A34" s="10">
        <f t="shared" si="1"/>
        <v>1849000</v>
      </c>
      <c r="B34" s="10">
        <v>43000</v>
      </c>
      <c r="C34" s="10"/>
      <c r="D34" s="1" t="s">
        <v>55</v>
      </c>
      <c r="E34" s="1" t="s">
        <v>54</v>
      </c>
    </row>
    <row r="35" spans="1:5" ht="42" customHeight="1" x14ac:dyDescent="0.2">
      <c r="A35" s="11"/>
      <c r="B35" s="11">
        <f xml:space="preserve"> B22 + B23 + B24 + B25 + B26 + B27 + B28 +B29 + B30 + B31 + B32 + B33 + B34 +B16</f>
        <v>2466000</v>
      </c>
      <c r="C35" s="11">
        <f xml:space="preserve"> C22 + C23 + C24 + C25 + C26 + C27 + C28 + C29 + C30 + C31 + C32 + C33 + C34 +C16</f>
        <v>617000</v>
      </c>
    </row>
    <row r="36" spans="1:5" ht="42.75" customHeight="1" x14ac:dyDescent="0.2">
      <c r="A36" s="11"/>
      <c r="B36" s="11"/>
      <c r="C36" s="11">
        <f xml:space="preserve"> A34</f>
        <v>1849000</v>
      </c>
      <c r="D36" s="8" t="s">
        <v>12</v>
      </c>
      <c r="E36" s="9" t="s">
        <v>13</v>
      </c>
    </row>
    <row r="37" spans="1:5" ht="15" x14ac:dyDescent="0.25">
      <c r="A37" s="6" t="s">
        <v>6</v>
      </c>
      <c r="D37" s="6" t="s">
        <v>5</v>
      </c>
    </row>
    <row r="39" spans="1:5" ht="43.5" customHeight="1" x14ac:dyDescent="0.3">
      <c r="A39" t="s">
        <v>11</v>
      </c>
      <c r="B39" s="2" t="s">
        <v>0</v>
      </c>
      <c r="C39" s="2"/>
    </row>
    <row r="40" spans="1:5" ht="41.2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4.25" customHeight="1" x14ac:dyDescent="0.2">
      <c r="A41" s="10">
        <f xml:space="preserve"> C36+B41-C41</f>
        <v>1882000</v>
      </c>
      <c r="B41" s="10">
        <v>33000</v>
      </c>
      <c r="C41" s="10"/>
      <c r="D41" s="1" t="s">
        <v>57</v>
      </c>
      <c r="E41" s="1" t="s">
        <v>56</v>
      </c>
    </row>
    <row r="42" spans="1:5" ht="42.75" customHeight="1" x14ac:dyDescent="0.2">
      <c r="A42" s="10">
        <f xml:space="preserve"> A41 + B42-C42</f>
        <v>1912000</v>
      </c>
      <c r="B42" s="10">
        <v>30000</v>
      </c>
      <c r="C42" s="10"/>
      <c r="D42" s="1" t="s">
        <v>59</v>
      </c>
      <c r="E42" s="1" t="s">
        <v>58</v>
      </c>
    </row>
    <row r="43" spans="1:5" ht="42.75" customHeight="1" x14ac:dyDescent="0.2">
      <c r="A43" s="10">
        <f t="shared" ref="A43:A53" si="2" xml:space="preserve"> A42 + B43-C43</f>
        <v>1942000</v>
      </c>
      <c r="B43" s="10">
        <v>30000</v>
      </c>
      <c r="C43" s="10"/>
      <c r="D43" s="1" t="s">
        <v>61</v>
      </c>
      <c r="E43" s="7" t="s">
        <v>60</v>
      </c>
    </row>
    <row r="44" spans="1:5" ht="44.25" customHeight="1" x14ac:dyDescent="0.2">
      <c r="A44" s="10">
        <f t="shared" si="2"/>
        <v>1968000</v>
      </c>
      <c r="B44" s="10">
        <v>26000</v>
      </c>
      <c r="C44" s="10"/>
      <c r="D44" s="1" t="s">
        <v>63</v>
      </c>
      <c r="E44" s="1" t="s">
        <v>62</v>
      </c>
    </row>
    <row r="45" spans="1:5" ht="44.25" customHeight="1" x14ac:dyDescent="0.2">
      <c r="A45" s="10">
        <f t="shared" si="2"/>
        <v>1983000</v>
      </c>
      <c r="B45" s="10">
        <v>15000</v>
      </c>
      <c r="C45" s="10"/>
      <c r="D45" s="1" t="s">
        <v>65</v>
      </c>
      <c r="E45" s="1" t="s">
        <v>64</v>
      </c>
    </row>
    <row r="46" spans="1:5" ht="42" customHeight="1" x14ac:dyDescent="0.2">
      <c r="A46" s="10">
        <f t="shared" si="2"/>
        <v>2013000</v>
      </c>
      <c r="B46" s="10">
        <v>30000</v>
      </c>
      <c r="C46" s="10"/>
      <c r="D46" s="1" t="s">
        <v>25</v>
      </c>
      <c r="E46" s="1" t="s">
        <v>66</v>
      </c>
    </row>
    <row r="47" spans="1:5" ht="42" customHeight="1" x14ac:dyDescent="0.2">
      <c r="A47" s="10">
        <f t="shared" si="2"/>
        <v>1813000</v>
      </c>
      <c r="B47" s="10"/>
      <c r="C47" s="10">
        <v>200000</v>
      </c>
      <c r="D47" s="1" t="s">
        <v>68</v>
      </c>
      <c r="E47" s="1" t="s">
        <v>67</v>
      </c>
    </row>
    <row r="48" spans="1:5" ht="42.75" customHeight="1" x14ac:dyDescent="0.2">
      <c r="A48" s="10">
        <f t="shared" si="2"/>
        <v>1777000</v>
      </c>
      <c r="B48" s="10"/>
      <c r="C48" s="10">
        <v>36000</v>
      </c>
      <c r="D48" s="1"/>
      <c r="E48" s="1" t="s">
        <v>69</v>
      </c>
    </row>
    <row r="49" spans="1:5" ht="42.75" customHeight="1" x14ac:dyDescent="0.2">
      <c r="A49" s="10">
        <f t="shared" si="2"/>
        <v>1277000</v>
      </c>
      <c r="B49" s="10"/>
      <c r="C49" s="10">
        <v>500000</v>
      </c>
      <c r="D49" s="1" t="s">
        <v>68</v>
      </c>
      <c r="E49" s="1" t="s">
        <v>70</v>
      </c>
    </row>
    <row r="50" spans="1:5" ht="43.5" customHeight="1" x14ac:dyDescent="0.2">
      <c r="A50" s="10">
        <f t="shared" si="2"/>
        <v>1437000</v>
      </c>
      <c r="B50" s="10">
        <v>160000</v>
      </c>
      <c r="C50" s="10"/>
      <c r="D50" s="1" t="s">
        <v>72</v>
      </c>
      <c r="E50" s="7" t="s">
        <v>71</v>
      </c>
    </row>
    <row r="51" spans="1:5" ht="43.5" customHeight="1" x14ac:dyDescent="0.2">
      <c r="A51" s="10">
        <f t="shared" si="2"/>
        <v>1437000</v>
      </c>
      <c r="B51" s="10"/>
      <c r="C51" s="10"/>
      <c r="D51" s="1"/>
      <c r="E51" s="7"/>
    </row>
    <row r="52" spans="1:5" ht="41.25" customHeight="1" x14ac:dyDescent="0.2">
      <c r="A52" s="10">
        <f t="shared" si="2"/>
        <v>1437000</v>
      </c>
      <c r="B52" s="10"/>
      <c r="C52" s="10"/>
      <c r="D52" s="1"/>
      <c r="E52" s="1"/>
    </row>
    <row r="53" spans="1:5" ht="42" customHeight="1" x14ac:dyDescent="0.2">
      <c r="A53" s="10">
        <f xml:space="preserve"> A52 + B53-C53</f>
        <v>1437000</v>
      </c>
      <c r="B53" s="10"/>
      <c r="C53" s="10"/>
      <c r="D53" s="1"/>
      <c r="E53" s="1"/>
    </row>
    <row r="54" spans="1:5" ht="42" customHeight="1" x14ac:dyDescent="0.2">
      <c r="A54" s="11"/>
      <c r="B54" s="11">
        <f xml:space="preserve"> B41 + B42 + B43 + B44 + B45 + B46 + B47 +B48 + B49 + B50 + B51 + B52 + B53 +B35</f>
        <v>2790000</v>
      </c>
      <c r="C54" s="11">
        <f xml:space="preserve"> C41 + C42 + C43 + C44 + C45 + C46 + C47 + C48 + C49 + C50 + C51 + C52 + C53 +C35</f>
        <v>1353000</v>
      </c>
    </row>
    <row r="55" spans="1:5" ht="42.75" customHeight="1" x14ac:dyDescent="0.3">
      <c r="A55" s="11"/>
      <c r="B55" s="11"/>
      <c r="C55" s="16">
        <f xml:space="preserve"> A53</f>
        <v>1437000</v>
      </c>
      <c r="D55" s="8" t="s">
        <v>12</v>
      </c>
      <c r="E55" s="9" t="s">
        <v>13</v>
      </c>
    </row>
    <row r="56" spans="1:5" ht="15" x14ac:dyDescent="0.25">
      <c r="A56" s="6" t="s">
        <v>6</v>
      </c>
      <c r="D56" s="6" t="s">
        <v>5</v>
      </c>
    </row>
  </sheetData>
  <conditionalFormatting sqref="C55">
    <cfRule type="cellIs" dxfId="3" priority="4" operator="greaterThan">
      <formula>0</formula>
    </cfRule>
    <cfRule type="cellIs" dxfId="2" priority="3" operator="equal">
      <formula>0</formula>
    </cfRule>
    <cfRule type="cellIs" dxfId="1" priority="2" operator="lessThan">
      <formula>0</formula>
    </cfRule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2026-08-22T13:15:54Z</dcterms:modified>
</cp:coreProperties>
</file>