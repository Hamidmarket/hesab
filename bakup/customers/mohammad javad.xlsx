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9" i="1" l="1"/>
  <c r="B159" i="1"/>
  <c r="A139" i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B161" i="1" s="1"/>
  <c r="H2" i="1" s="1"/>
  <c r="A114" i="1" l="1"/>
  <c r="A113" i="1"/>
  <c r="A90" i="1" l="1"/>
  <c r="A87" i="1"/>
  <c r="A62" i="1"/>
  <c r="A63" i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61" i="1"/>
  <c r="A60" i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43" i="1"/>
  <c r="A42" i="1"/>
  <c r="A25" i="1"/>
  <c r="A22" i="1"/>
  <c r="A23" i="1"/>
  <c r="A24" i="1" s="1"/>
  <c r="A26" i="1" s="1"/>
  <c r="A27" i="1" s="1"/>
  <c r="A28" i="1" s="1"/>
  <c r="A29" i="1" s="1"/>
  <c r="A30" i="1" s="1"/>
  <c r="A31" i="1" s="1"/>
  <c r="A32" i="1" s="1"/>
  <c r="A33" i="1" s="1"/>
  <c r="A3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4" i="1"/>
  <c r="A3" i="1"/>
  <c r="C107" i="1" l="1"/>
  <c r="C133" i="1" s="1"/>
  <c r="B16" i="1" l="1"/>
  <c r="B35" i="1" s="1"/>
  <c r="B55" i="1" s="1"/>
  <c r="B80" i="1" s="1"/>
  <c r="B107" i="1" s="1"/>
  <c r="B133" i="1" s="1"/>
  <c r="C16" i="1" l="1"/>
  <c r="C35" i="1" s="1"/>
  <c r="C55" i="1" s="1"/>
  <c r="C80" i="1" s="1"/>
  <c r="C17" i="1" l="1"/>
  <c r="C36" i="1" s="1"/>
  <c r="C56" i="1" l="1"/>
  <c r="B82" i="1" s="1"/>
  <c r="A88" i="1" s="1"/>
  <c r="A89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B109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B135" i="1" s="1"/>
</calcChain>
</file>

<file path=xl/sharedStrings.xml><?xml version="1.0" encoding="utf-8"?>
<sst xmlns="http://schemas.openxmlformats.org/spreadsheetml/2006/main" count="289" uniqueCount="194">
  <si>
    <t>نام طرف حساب :</t>
  </si>
  <si>
    <t>وجه حساب</t>
  </si>
  <si>
    <t>فاکتور</t>
  </si>
  <si>
    <t>مبلغ فاکتور</t>
  </si>
  <si>
    <t>باتشکر از خرید شما</t>
  </si>
  <si>
    <t>هایپر مارکت رحمتی</t>
  </si>
  <si>
    <t>تاریخ</t>
  </si>
  <si>
    <t>احتساب اخرین فاکتور :</t>
  </si>
  <si>
    <t xml:space="preserve">   بدهی کل با </t>
  </si>
  <si>
    <t>محمد جواد میرزایی</t>
  </si>
  <si>
    <t>دنگ پاسور</t>
  </si>
  <si>
    <t xml:space="preserve">دنگ پل دواب </t>
  </si>
  <si>
    <t>وجه</t>
  </si>
  <si>
    <t>بدهی نرم افزار هلو</t>
  </si>
  <si>
    <t>1404/01/29</t>
  </si>
  <si>
    <t>1404/02/01</t>
  </si>
  <si>
    <t>اسنک</t>
  </si>
  <si>
    <t>1404/02/02</t>
  </si>
  <si>
    <r>
      <rPr>
        <b/>
        <sz val="18"/>
        <color theme="1"/>
        <rFont val="Arial"/>
        <family val="2"/>
        <scheme val="minor"/>
      </rPr>
      <t>جمع بدهی</t>
    </r>
    <r>
      <rPr>
        <sz val="18"/>
        <color theme="1"/>
        <rFont val="Arial"/>
        <family val="2"/>
        <scheme val="minor"/>
      </rPr>
      <t xml:space="preserve"> </t>
    </r>
  </si>
  <si>
    <t xml:space="preserve"> قهوه اسنک برگه لواشک </t>
  </si>
  <si>
    <t>1404/02/03</t>
  </si>
  <si>
    <t>قهوه اسنک</t>
  </si>
  <si>
    <t>1404/02/05</t>
  </si>
  <si>
    <t>سیگار</t>
  </si>
  <si>
    <t>1404/02/09</t>
  </si>
  <si>
    <t>لیموناد ماست</t>
  </si>
  <si>
    <t>کوپا سیب</t>
  </si>
  <si>
    <t>1404/02/10</t>
  </si>
  <si>
    <t>بستنی</t>
  </si>
  <si>
    <t>1404/02/12</t>
  </si>
  <si>
    <t>دنگ سوسیس تخم مرغ پل دواب</t>
  </si>
  <si>
    <t>1404/02/13</t>
  </si>
  <si>
    <t xml:space="preserve">لواشک کوپا رانی اسپرسو سیگار </t>
  </si>
  <si>
    <t>1404/02/16</t>
  </si>
  <si>
    <t xml:space="preserve">سیب فالوده </t>
  </si>
  <si>
    <t>1404/02/19</t>
  </si>
  <si>
    <t>تنباکو فویل</t>
  </si>
  <si>
    <t>دنگ پل دواب</t>
  </si>
  <si>
    <t>1404/02/22</t>
  </si>
  <si>
    <t>برگشت قهوه سیگار</t>
  </si>
  <si>
    <t>لواشک بستنی</t>
  </si>
  <si>
    <t>1404/02/23</t>
  </si>
  <si>
    <t>ابمیوه</t>
  </si>
  <si>
    <t>کمپوت</t>
  </si>
  <si>
    <t>1404/02/29</t>
  </si>
  <si>
    <t>قند لواشک</t>
  </si>
  <si>
    <t>1404/02/31</t>
  </si>
  <si>
    <t>بستنی چیپس چی پلت</t>
  </si>
  <si>
    <t>1404/03/03</t>
  </si>
  <si>
    <t>1404/03/04</t>
  </si>
  <si>
    <t>چیپس ئسالمین لواشک</t>
  </si>
  <si>
    <t>1404/03/06</t>
  </si>
  <si>
    <t>بستنی کیک چیپس</t>
  </si>
  <si>
    <t>1404/03/13</t>
  </si>
  <si>
    <t>رامتین چی پلت</t>
  </si>
  <si>
    <t>1404/03/16</t>
  </si>
  <si>
    <t>چیپس بستنی لواشک</t>
  </si>
  <si>
    <t>1404/03/26</t>
  </si>
  <si>
    <t>بستنی چیپی پفیلا</t>
  </si>
  <si>
    <t>1404/04/04</t>
  </si>
  <si>
    <t xml:space="preserve">رامتین اسنک </t>
  </si>
  <si>
    <t>1404/04/5</t>
  </si>
  <si>
    <t>اسنک رامتین</t>
  </si>
  <si>
    <t>1404/04/06</t>
  </si>
  <si>
    <t>نوشابه کرانچی</t>
  </si>
  <si>
    <t>1404/04/11</t>
  </si>
  <si>
    <t>قهوه فتیر غلام</t>
  </si>
  <si>
    <t>1404/05/09</t>
  </si>
  <si>
    <t>دلستر سیگار</t>
  </si>
  <si>
    <t>1404/05/10</t>
  </si>
  <si>
    <t xml:space="preserve">نوشابه  </t>
  </si>
  <si>
    <t>1404/05/23</t>
  </si>
  <si>
    <t>چیپس</t>
  </si>
  <si>
    <t>1404/06/02</t>
  </si>
  <si>
    <t xml:space="preserve">قهوه  </t>
  </si>
  <si>
    <t>یدهی کل با احتساب آخرین فاکتور :</t>
  </si>
  <si>
    <t>با تشکر از خرید شما</t>
  </si>
  <si>
    <t>مواد غذایی رحمتی</t>
  </si>
  <si>
    <t>1404/05/28</t>
  </si>
  <si>
    <t>عرق خونه حاج علی</t>
  </si>
  <si>
    <t>1404/06/01</t>
  </si>
  <si>
    <t>دنگ آبجو</t>
  </si>
  <si>
    <t>1404/06/07</t>
  </si>
  <si>
    <t>1404/06/11</t>
  </si>
  <si>
    <t>1404/06/12</t>
  </si>
  <si>
    <t xml:space="preserve">آب </t>
  </si>
  <si>
    <t>1404/06/27</t>
  </si>
  <si>
    <t>چیپس پفک</t>
  </si>
  <si>
    <t>1404/06/28</t>
  </si>
  <si>
    <t xml:space="preserve">دنگ مزه </t>
  </si>
  <si>
    <t>1404/06/30</t>
  </si>
  <si>
    <t>چیپس کیری ازونا کوص و شر</t>
  </si>
  <si>
    <t>1404/07/02</t>
  </si>
  <si>
    <t>1404/07/07</t>
  </si>
  <si>
    <t>قهوه چی فلکس</t>
  </si>
  <si>
    <t>1404/07/12</t>
  </si>
  <si>
    <t xml:space="preserve">پج پچ لواشک </t>
  </si>
  <si>
    <t>1404/07/13</t>
  </si>
  <si>
    <t>دنگ عمو میلاد</t>
  </si>
  <si>
    <t>1404/07/014</t>
  </si>
  <si>
    <t>وجه کاکو</t>
  </si>
  <si>
    <t>1404/07/15</t>
  </si>
  <si>
    <t>پول نقد</t>
  </si>
  <si>
    <t>1404/07/18</t>
  </si>
  <si>
    <t>قهوه چیپس لواشک</t>
  </si>
  <si>
    <t>1404/07/21</t>
  </si>
  <si>
    <t>لواشک پفک</t>
  </si>
  <si>
    <t>1404/07/23</t>
  </si>
  <si>
    <t>الباقی امیر خان</t>
  </si>
  <si>
    <t>1404/08/01</t>
  </si>
  <si>
    <t>دنگ خانه حلج علی</t>
  </si>
  <si>
    <t>تو دی</t>
  </si>
  <si>
    <t>1404/08/08</t>
  </si>
  <si>
    <t xml:space="preserve">لواشک   </t>
  </si>
  <si>
    <t>1404/08/12</t>
  </si>
  <si>
    <t>سوسیس</t>
  </si>
  <si>
    <t>1404/08/14</t>
  </si>
  <si>
    <t>سوسیس لواشک</t>
  </si>
  <si>
    <t>1404/09/05</t>
  </si>
  <si>
    <t>دنگ مزه</t>
  </si>
  <si>
    <t>نوشابه</t>
  </si>
  <si>
    <t>1404/09/11</t>
  </si>
  <si>
    <t>چیپس شامپو فرش</t>
  </si>
  <si>
    <t>1404/09/17</t>
  </si>
  <si>
    <t>تن ماهی خلال</t>
  </si>
  <si>
    <t>1404/09/21</t>
  </si>
  <si>
    <t>دنگ دو گن</t>
  </si>
  <si>
    <t>تنباکو خرید</t>
  </si>
  <si>
    <t>1404/10/01</t>
  </si>
  <si>
    <t>دلستر</t>
  </si>
  <si>
    <t>1404/10/03</t>
  </si>
  <si>
    <t>1404/10/04</t>
  </si>
  <si>
    <t>دنگ تنباکو</t>
  </si>
  <si>
    <t>1404/10/06</t>
  </si>
  <si>
    <t>پاسطیل برگه</t>
  </si>
  <si>
    <t>1404/10/12</t>
  </si>
  <si>
    <t>دنگ سوسیس تخم مرغ شیر کاکائو کیک</t>
  </si>
  <si>
    <t>1404/10/13</t>
  </si>
  <si>
    <t xml:space="preserve">دنگ تنباکو ذغال </t>
  </si>
  <si>
    <t>140410/26</t>
  </si>
  <si>
    <t>لیموناد چیپس سالمین</t>
  </si>
  <si>
    <t>ذرت</t>
  </si>
  <si>
    <t>1404/10/30</t>
  </si>
  <si>
    <t>1404/11/10</t>
  </si>
  <si>
    <t>چیپس لواشک</t>
  </si>
  <si>
    <t>1303/11/10</t>
  </si>
  <si>
    <t>ذغال</t>
  </si>
  <si>
    <t>1404/11/17</t>
  </si>
  <si>
    <t>1404/11/24</t>
  </si>
  <si>
    <t>1404/11/25</t>
  </si>
  <si>
    <t>تخمه</t>
  </si>
  <si>
    <t>1404/12/13</t>
  </si>
  <si>
    <t xml:space="preserve">کیک </t>
  </si>
  <si>
    <t>1404/12/14</t>
  </si>
  <si>
    <t>پچ پچ</t>
  </si>
  <si>
    <t>1404/12/16</t>
  </si>
  <si>
    <t>وج کالا برگ</t>
  </si>
  <si>
    <t>1404/12/21</t>
  </si>
  <si>
    <t>دنگ ساندویچ</t>
  </si>
  <si>
    <t>1404/12/25</t>
  </si>
  <si>
    <t>قهوه</t>
  </si>
  <si>
    <t>1405/01/02</t>
  </si>
  <si>
    <t>دنگ عرق داداش</t>
  </si>
  <si>
    <t>1405/01/04</t>
  </si>
  <si>
    <t>پول چخت</t>
  </si>
  <si>
    <t>1405/01/03</t>
  </si>
  <si>
    <t>ساندویچ خونه حاج علی</t>
  </si>
  <si>
    <t>کوص شر شیرین عسل</t>
  </si>
  <si>
    <t>1405/01/07</t>
  </si>
  <si>
    <t>اب کوپا</t>
  </si>
  <si>
    <t>1405/01/06</t>
  </si>
  <si>
    <t>1405/01/09</t>
  </si>
  <si>
    <t>های کیک کوص شر</t>
  </si>
  <si>
    <t>1405/01/12</t>
  </si>
  <si>
    <t>1405/01/15</t>
  </si>
  <si>
    <t>وجه کالابرگ</t>
  </si>
  <si>
    <t>پشمک</t>
  </si>
  <si>
    <t>1405/01/21</t>
  </si>
  <si>
    <t>چیپس ماست</t>
  </si>
  <si>
    <t>1405/01/27</t>
  </si>
  <si>
    <t>نوشابه تخمهخ چیپس</t>
  </si>
  <si>
    <t>1405/01/28</t>
  </si>
  <si>
    <t>1405/02/18</t>
  </si>
  <si>
    <t>جمع کل حساب با احتساب آخرین فاکتور :</t>
  </si>
  <si>
    <t>1405/04/13</t>
  </si>
  <si>
    <t>دنگ بوته</t>
  </si>
  <si>
    <t>1405/04/14</t>
  </si>
  <si>
    <t>مزه</t>
  </si>
  <si>
    <t xml:space="preserve">لواشک بستنی </t>
  </si>
  <si>
    <t>1405/04/19</t>
  </si>
  <si>
    <t>دنگ کیک رضا</t>
  </si>
  <si>
    <t>ساندویچ باغتون</t>
  </si>
  <si>
    <t>1405/05/02</t>
  </si>
  <si>
    <t>کوصشریات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</si>
</sst>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5" fillId="0" borderId="1" xfId="0" applyFont="1" applyBorder="1"/>
    <xf numFmtId="3" fontId="0" fillId="0" borderId="1" xfId="0" applyNumberFormat="1" applyBorder="1"/>
    <xf numFmtId="3" fontId="0" fillId="0" borderId="0" xfId="0" applyNumberFormat="1"/>
    <xf numFmtId="0" fontId="4" fillId="0" borderId="1" xfId="0" applyFont="1" applyBorder="1"/>
    <xf numFmtId="0" fontId="6" fillId="0" borderId="0" xfId="0" applyFont="1"/>
    <xf numFmtId="3" fontId="2" fillId="0" borderId="0" xfId="0" applyNumberFormat="1" applyFont="1"/>
    <xf numFmtId="0" fontId="0" fillId="0" borderId="1" xfId="0" applyFont="1" applyBorder="1"/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tabSelected="1" topLeftCell="A153" zoomScaleNormal="100" workbookViewId="0">
      <selection activeCell="B156" sqref="B156"/>
    </sheetView>
  </sheetViews>
  <sheetFormatPr defaultRowHeight="14.25" x14ac:dyDescent="0.2"/>
  <cols>
    <col min="1" max="1" width="14.625" customWidth="1"/>
    <col min="2" max="2" width="16" customWidth="1"/>
    <col min="3" max="3" width="18.25" customWidth="1"/>
    <col min="4" max="4" width="16.875" customWidth="1"/>
    <col min="5" max="5" width="10.75" customWidth="1"/>
    <col min="6" max="6" width="18.125" customWidth="1"/>
  </cols>
  <sheetData>
    <row r="1" spans="1:8" ht="42" customHeight="1" x14ac:dyDescent="0.3">
      <c r="A1" t="s">
        <v>9</v>
      </c>
      <c r="B1" s="2" t="s">
        <v>0</v>
      </c>
      <c r="C1" s="2"/>
    </row>
    <row r="2" spans="1:8" ht="42.75" customHeight="1" x14ac:dyDescent="0.4">
      <c r="A2" s="3" t="s">
        <v>18</v>
      </c>
      <c r="B2" s="6" t="s">
        <v>3</v>
      </c>
      <c r="C2" s="4" t="s">
        <v>1</v>
      </c>
      <c r="D2" s="4" t="s">
        <v>2</v>
      </c>
      <c r="E2" s="4" t="s">
        <v>6</v>
      </c>
      <c r="H2" s="8">
        <f>B161</f>
        <v>646500</v>
      </c>
    </row>
    <row r="3" spans="1:8" ht="42.75" customHeight="1" x14ac:dyDescent="0.2">
      <c r="A3" s="1">
        <f xml:space="preserve"> B3</f>
        <v>60000</v>
      </c>
      <c r="B3" s="1">
        <v>60000</v>
      </c>
      <c r="C3" s="1"/>
      <c r="D3" s="1" t="s">
        <v>10</v>
      </c>
      <c r="E3" s="1"/>
    </row>
    <row r="4" spans="1:8" ht="43.5" customHeight="1" x14ac:dyDescent="0.2">
      <c r="A4" s="1">
        <f xml:space="preserve"> A3 + B4-C4</f>
        <v>205000</v>
      </c>
      <c r="B4" s="1">
        <v>145000</v>
      </c>
      <c r="C4" s="1"/>
      <c r="D4" s="1" t="s">
        <v>11</v>
      </c>
      <c r="E4" s="1"/>
    </row>
    <row r="5" spans="1:8" ht="43.5" customHeight="1" x14ac:dyDescent="0.2">
      <c r="A5" s="1">
        <f t="shared" ref="A5:A15" si="0" xml:space="preserve"> A4 + B5-C5</f>
        <v>85000</v>
      </c>
      <c r="B5" s="1"/>
      <c r="C5" s="1">
        <v>120000</v>
      </c>
      <c r="D5" s="1" t="s">
        <v>12</v>
      </c>
      <c r="E5" s="1"/>
    </row>
    <row r="6" spans="1:8" ht="42.75" customHeight="1" x14ac:dyDescent="0.2">
      <c r="A6" s="1">
        <f t="shared" si="0"/>
        <v>1241000</v>
      </c>
      <c r="B6" s="1">
        <v>1156000</v>
      </c>
      <c r="C6" s="1"/>
      <c r="D6" s="1" t="s">
        <v>13</v>
      </c>
      <c r="E6" s="1"/>
    </row>
    <row r="7" spans="1:8" ht="43.5" customHeight="1" x14ac:dyDescent="0.2">
      <c r="A7" s="1">
        <f t="shared" si="0"/>
        <v>1299000</v>
      </c>
      <c r="B7" s="1">
        <v>58000</v>
      </c>
      <c r="C7" s="1"/>
      <c r="D7" s="1" t="s">
        <v>11</v>
      </c>
      <c r="E7" s="1" t="s">
        <v>14</v>
      </c>
    </row>
    <row r="8" spans="1:8" ht="42.75" customHeight="1" x14ac:dyDescent="0.2">
      <c r="A8" s="1">
        <f t="shared" si="0"/>
        <v>1329000</v>
      </c>
      <c r="B8" s="1">
        <v>30000</v>
      </c>
      <c r="C8" s="1"/>
      <c r="D8" s="1" t="s">
        <v>16</v>
      </c>
      <c r="E8" s="1" t="s">
        <v>15</v>
      </c>
    </row>
    <row r="9" spans="1:8" ht="43.5" customHeight="1" x14ac:dyDescent="0.2">
      <c r="A9" s="1">
        <f t="shared" si="0"/>
        <v>1449000</v>
      </c>
      <c r="B9" s="1">
        <v>120000</v>
      </c>
      <c r="C9" s="1"/>
      <c r="D9" s="1" t="s">
        <v>19</v>
      </c>
      <c r="E9" s="1" t="s">
        <v>17</v>
      </c>
    </row>
    <row r="10" spans="1:8" ht="43.5" customHeight="1" x14ac:dyDescent="0.2">
      <c r="A10" s="1">
        <f t="shared" si="0"/>
        <v>1539000</v>
      </c>
      <c r="B10" s="1">
        <v>90000</v>
      </c>
      <c r="C10" s="1"/>
      <c r="D10" s="1" t="s">
        <v>21</v>
      </c>
      <c r="E10" s="1" t="s">
        <v>20</v>
      </c>
    </row>
    <row r="11" spans="1:8" ht="42.75" customHeight="1" x14ac:dyDescent="0.2">
      <c r="A11" s="1">
        <f t="shared" si="0"/>
        <v>1606000</v>
      </c>
      <c r="B11" s="1">
        <v>67000</v>
      </c>
      <c r="C11" s="1"/>
      <c r="D11" s="1" t="s">
        <v>23</v>
      </c>
      <c r="E11" s="1" t="s">
        <v>22</v>
      </c>
    </row>
    <row r="12" spans="1:8" ht="42" customHeight="1" x14ac:dyDescent="0.2">
      <c r="A12" s="1">
        <f t="shared" si="0"/>
        <v>1636000</v>
      </c>
      <c r="B12" s="1">
        <v>30000</v>
      </c>
      <c r="C12" s="1"/>
      <c r="D12" s="1" t="s">
        <v>16</v>
      </c>
      <c r="E12" s="1" t="s">
        <v>22</v>
      </c>
    </row>
    <row r="13" spans="1:8" ht="43.5" customHeight="1" x14ac:dyDescent="0.2">
      <c r="A13" s="1">
        <f t="shared" si="0"/>
        <v>1648500</v>
      </c>
      <c r="B13" s="1">
        <v>12500</v>
      </c>
      <c r="C13" s="1"/>
      <c r="D13" s="1" t="s">
        <v>25</v>
      </c>
      <c r="E13" s="1" t="s">
        <v>24</v>
      </c>
    </row>
    <row r="14" spans="1:8" ht="42" customHeight="1" x14ac:dyDescent="0.2">
      <c r="A14" s="1">
        <f t="shared" si="0"/>
        <v>1683500</v>
      </c>
      <c r="B14" s="1">
        <v>35000</v>
      </c>
      <c r="C14" s="1"/>
      <c r="D14" s="1" t="s">
        <v>26</v>
      </c>
      <c r="E14" s="1" t="s">
        <v>24</v>
      </c>
    </row>
    <row r="15" spans="1:8" ht="42.75" customHeight="1" x14ac:dyDescent="0.2">
      <c r="A15" s="1">
        <f t="shared" si="0"/>
        <v>1763500</v>
      </c>
      <c r="B15" s="1">
        <v>80000</v>
      </c>
      <c r="C15" s="1"/>
      <c r="D15" s="1" t="s">
        <v>28</v>
      </c>
      <c r="E15" s="1" t="s">
        <v>27</v>
      </c>
    </row>
    <row r="16" spans="1:8" ht="30.75" customHeight="1" x14ac:dyDescent="0.2">
      <c r="B16">
        <f xml:space="preserve"> B3 + B4 + B5 + B6 + B7 + B8 + B9 +B10 + B11 + B12 + B13 + B14 + B15</f>
        <v>1883500</v>
      </c>
      <c r="C16">
        <f xml:space="preserve"> C3 + C4 + C5 + C6 + C7 + C8 + C9 + C10 + C11 + C12 + C13 + C14 + C15</f>
        <v>120000</v>
      </c>
    </row>
    <row r="17" spans="1:5" ht="43.5" customHeight="1" x14ac:dyDescent="0.25">
      <c r="C17">
        <f xml:space="preserve"> A15</f>
        <v>1763500</v>
      </c>
      <c r="D17" s="5" t="s">
        <v>7</v>
      </c>
      <c r="E17" s="5" t="s">
        <v>8</v>
      </c>
    </row>
    <row r="18" spans="1:5" ht="45" customHeight="1" x14ac:dyDescent="0.25">
      <c r="A18" s="5" t="s">
        <v>5</v>
      </c>
      <c r="D18" s="5" t="s">
        <v>4</v>
      </c>
    </row>
    <row r="20" spans="1:5" ht="43.5" customHeight="1" x14ac:dyDescent="0.3">
      <c r="A20" t="s">
        <v>9</v>
      </c>
      <c r="B20" s="2" t="s">
        <v>0</v>
      </c>
      <c r="C20" s="2"/>
    </row>
    <row r="21" spans="1:5" ht="42" customHeight="1" x14ac:dyDescent="0.4">
      <c r="A21" s="3" t="s">
        <v>18</v>
      </c>
      <c r="B21" s="6" t="s">
        <v>3</v>
      </c>
      <c r="C21" s="4" t="s">
        <v>1</v>
      </c>
      <c r="D21" s="4" t="s">
        <v>2</v>
      </c>
      <c r="E21" s="4" t="s">
        <v>6</v>
      </c>
    </row>
    <row r="22" spans="1:5" ht="42.75" customHeight="1" x14ac:dyDescent="0.2">
      <c r="A22" s="1">
        <f xml:space="preserve"> C17+B22</f>
        <v>1787500</v>
      </c>
      <c r="B22" s="1">
        <v>24000</v>
      </c>
      <c r="C22" s="1"/>
      <c r="D22" s="1" t="s">
        <v>30</v>
      </c>
      <c r="E22" s="1" t="s">
        <v>29</v>
      </c>
    </row>
    <row r="23" spans="1:5" ht="42" customHeight="1" x14ac:dyDescent="0.2">
      <c r="A23" s="1">
        <f xml:space="preserve"> A22 + B23-C23</f>
        <v>1967500</v>
      </c>
      <c r="B23" s="1">
        <v>180000</v>
      </c>
      <c r="C23" s="1"/>
      <c r="D23" s="1" t="s">
        <v>32</v>
      </c>
      <c r="E23" s="1" t="s">
        <v>31</v>
      </c>
    </row>
    <row r="24" spans="1:5" ht="42" customHeight="1" x14ac:dyDescent="0.2">
      <c r="A24" s="1">
        <f t="shared" ref="A24:A34" si="1" xml:space="preserve"> A23 + B24-C24</f>
        <v>2012500</v>
      </c>
      <c r="B24" s="1">
        <v>45000</v>
      </c>
      <c r="C24" s="1"/>
      <c r="D24" s="1" t="s">
        <v>34</v>
      </c>
      <c r="E24" s="1" t="s">
        <v>33</v>
      </c>
    </row>
    <row r="25" spans="1:5" ht="41.25" customHeight="1" x14ac:dyDescent="0.2">
      <c r="A25" s="1">
        <f xml:space="preserve"> A24 + B25-C25</f>
        <v>2122500</v>
      </c>
      <c r="B25" s="1">
        <v>110000</v>
      </c>
      <c r="C25" s="1"/>
      <c r="D25" s="1" t="s">
        <v>36</v>
      </c>
      <c r="E25" s="1" t="s">
        <v>35</v>
      </c>
    </row>
    <row r="26" spans="1:5" ht="42" customHeight="1" x14ac:dyDescent="0.2">
      <c r="A26" s="1">
        <f t="shared" si="1"/>
        <v>2162500</v>
      </c>
      <c r="B26" s="1">
        <v>40000</v>
      </c>
      <c r="C26" s="1"/>
      <c r="D26" s="1" t="s">
        <v>37</v>
      </c>
      <c r="E26" s="1" t="s">
        <v>35</v>
      </c>
    </row>
    <row r="27" spans="1:5" ht="42.75" customHeight="1" x14ac:dyDescent="0.2">
      <c r="A27" s="1">
        <f t="shared" si="1"/>
        <v>2050500</v>
      </c>
      <c r="B27" s="1"/>
      <c r="C27" s="1">
        <v>112000</v>
      </c>
      <c r="D27" s="1" t="s">
        <v>39</v>
      </c>
      <c r="E27" s="1" t="s">
        <v>38</v>
      </c>
    </row>
    <row r="28" spans="1:5" ht="42" customHeight="1" x14ac:dyDescent="0.2">
      <c r="A28" s="1">
        <f t="shared" si="1"/>
        <v>2090500</v>
      </c>
      <c r="B28" s="1">
        <v>40000</v>
      </c>
      <c r="C28" s="1"/>
      <c r="D28" s="1" t="s">
        <v>40</v>
      </c>
      <c r="E28" s="1" t="s">
        <v>38</v>
      </c>
    </row>
    <row r="29" spans="1:5" ht="42.75" customHeight="1" x14ac:dyDescent="0.2">
      <c r="A29" s="1">
        <f t="shared" si="1"/>
        <v>1090500</v>
      </c>
      <c r="B29" s="1"/>
      <c r="C29" s="1">
        <v>1000000</v>
      </c>
      <c r="D29" s="1" t="s">
        <v>12</v>
      </c>
      <c r="E29" s="1" t="s">
        <v>38</v>
      </c>
    </row>
    <row r="30" spans="1:5" ht="42" customHeight="1" x14ac:dyDescent="0.2">
      <c r="A30" s="1">
        <f t="shared" si="1"/>
        <v>1205500</v>
      </c>
      <c r="B30" s="1">
        <v>115000</v>
      </c>
      <c r="C30" s="1"/>
      <c r="D30" s="1" t="s">
        <v>42</v>
      </c>
      <c r="E30" s="1" t="s">
        <v>41</v>
      </c>
    </row>
    <row r="31" spans="1:5" ht="42.75" customHeight="1" x14ac:dyDescent="0.2">
      <c r="A31" s="1">
        <f t="shared" si="1"/>
        <v>1330500</v>
      </c>
      <c r="B31" s="1">
        <v>125000</v>
      </c>
      <c r="C31" s="1"/>
      <c r="D31" s="1" t="s">
        <v>43</v>
      </c>
      <c r="E31" s="1" t="s">
        <v>41</v>
      </c>
    </row>
    <row r="32" spans="1:5" ht="42.75" customHeight="1" x14ac:dyDescent="0.2">
      <c r="A32" s="1">
        <f t="shared" si="1"/>
        <v>1800500</v>
      </c>
      <c r="B32" s="1">
        <v>470000</v>
      </c>
      <c r="C32" s="1"/>
      <c r="D32" s="1" t="s">
        <v>45</v>
      </c>
      <c r="E32" s="1" t="s">
        <v>44</v>
      </c>
    </row>
    <row r="33" spans="1:5" ht="41.25" customHeight="1" x14ac:dyDescent="0.2">
      <c r="A33" s="1">
        <f t="shared" si="1"/>
        <v>1970500</v>
      </c>
      <c r="B33" s="1">
        <v>170000</v>
      </c>
      <c r="C33" s="1"/>
      <c r="D33" s="1" t="s">
        <v>47</v>
      </c>
      <c r="E33" s="1" t="s">
        <v>46</v>
      </c>
    </row>
    <row r="34" spans="1:5" ht="43.5" customHeight="1" x14ac:dyDescent="0.2">
      <c r="A34" s="1">
        <f t="shared" si="1"/>
        <v>470500</v>
      </c>
      <c r="B34" s="1"/>
      <c r="C34" s="1">
        <v>1500000</v>
      </c>
      <c r="D34" s="1" t="s">
        <v>12</v>
      </c>
      <c r="E34" s="1" t="s">
        <v>48</v>
      </c>
    </row>
    <row r="35" spans="1:5" ht="42" customHeight="1" x14ac:dyDescent="0.2">
      <c r="B35">
        <f xml:space="preserve"> B22 + B23 + B24 + B25 + B26 + B27 + B28 +B29 + B30 + B31 + B32 + B33 + B34 +B16</f>
        <v>3202500</v>
      </c>
      <c r="C35">
        <f xml:space="preserve"> C22 + C23 + C24 + C25 + C26 + C27 + C28 + C29 + C30 + C31 + C32 + C33 + C34 +C16</f>
        <v>2732000</v>
      </c>
    </row>
    <row r="36" spans="1:5" ht="42" customHeight="1" x14ac:dyDescent="0.25">
      <c r="C36">
        <f xml:space="preserve"> A34</f>
        <v>470500</v>
      </c>
      <c r="D36" s="5" t="s">
        <v>7</v>
      </c>
      <c r="E36" s="5" t="s">
        <v>8</v>
      </c>
    </row>
    <row r="37" spans="1:5" ht="15" x14ac:dyDescent="0.25">
      <c r="A37" s="5" t="s">
        <v>5</v>
      </c>
      <c r="D37" s="5" t="s">
        <v>4</v>
      </c>
    </row>
    <row r="39" spans="1:5" ht="41.25" customHeight="1" x14ac:dyDescent="0.2"/>
    <row r="40" spans="1:5" ht="42.75" customHeight="1" x14ac:dyDescent="0.3">
      <c r="A40" t="s">
        <v>9</v>
      </c>
      <c r="B40" s="2" t="s">
        <v>0</v>
      </c>
      <c r="C40" s="2"/>
    </row>
    <row r="41" spans="1:5" ht="42.75" customHeight="1" x14ac:dyDescent="0.4">
      <c r="A41" s="3" t="s">
        <v>18</v>
      </c>
      <c r="B41" s="6" t="s">
        <v>3</v>
      </c>
      <c r="C41" s="4" t="s">
        <v>1</v>
      </c>
      <c r="D41" s="4" t="s">
        <v>2</v>
      </c>
      <c r="E41" s="4" t="s">
        <v>6</v>
      </c>
    </row>
    <row r="42" spans="1:5" ht="42" customHeight="1" x14ac:dyDescent="0.2">
      <c r="A42" s="7">
        <f xml:space="preserve"> C36+B42-C42</f>
        <v>540500</v>
      </c>
      <c r="B42" s="7">
        <v>70000</v>
      </c>
      <c r="C42" s="7"/>
      <c r="D42" s="1" t="s">
        <v>50</v>
      </c>
      <c r="E42" s="1" t="s">
        <v>49</v>
      </c>
    </row>
    <row r="43" spans="1:5" ht="41.25" customHeight="1" x14ac:dyDescent="0.2">
      <c r="A43" s="7">
        <f xml:space="preserve"> A42 + B43-C43</f>
        <v>612500</v>
      </c>
      <c r="B43" s="7">
        <v>72000</v>
      </c>
      <c r="C43" s="7"/>
      <c r="D43" s="1" t="s">
        <v>52</v>
      </c>
      <c r="E43" s="1" t="s">
        <v>51</v>
      </c>
    </row>
    <row r="44" spans="1:5" ht="42" customHeight="1" x14ac:dyDescent="0.2">
      <c r="A44" s="7">
        <f t="shared" ref="A44:A54" si="2" xml:space="preserve"> A43 + B44-C44</f>
        <v>667500</v>
      </c>
      <c r="B44" s="7">
        <v>55000</v>
      </c>
      <c r="C44" s="7"/>
      <c r="D44" s="1" t="s">
        <v>54</v>
      </c>
      <c r="E44" s="1" t="s">
        <v>53</v>
      </c>
    </row>
    <row r="45" spans="1:5" ht="42" customHeight="1" x14ac:dyDescent="0.2">
      <c r="A45" s="7">
        <f t="shared" si="2"/>
        <v>782500</v>
      </c>
      <c r="B45" s="7">
        <v>115000</v>
      </c>
      <c r="C45" s="7"/>
      <c r="D45" s="1" t="s">
        <v>56</v>
      </c>
      <c r="E45" s="1" t="s">
        <v>55</v>
      </c>
    </row>
    <row r="46" spans="1:5" ht="42.75" customHeight="1" x14ac:dyDescent="0.2">
      <c r="A46" s="7">
        <f t="shared" si="2"/>
        <v>877500</v>
      </c>
      <c r="B46" s="7">
        <v>95000</v>
      </c>
      <c r="C46" s="7"/>
      <c r="D46" s="1" t="s">
        <v>58</v>
      </c>
      <c r="E46" s="1" t="s">
        <v>57</v>
      </c>
    </row>
    <row r="47" spans="1:5" ht="42.75" customHeight="1" x14ac:dyDescent="0.2">
      <c r="A47" s="7">
        <f t="shared" si="2"/>
        <v>1047500</v>
      </c>
      <c r="B47" s="7">
        <v>170000</v>
      </c>
      <c r="C47" s="7"/>
      <c r="D47" s="1" t="s">
        <v>60</v>
      </c>
      <c r="E47" s="1" t="s">
        <v>59</v>
      </c>
    </row>
    <row r="48" spans="1:5" ht="42" customHeight="1" x14ac:dyDescent="0.2">
      <c r="A48" s="7">
        <f t="shared" si="2"/>
        <v>1097500</v>
      </c>
      <c r="B48" s="7">
        <v>50000</v>
      </c>
      <c r="C48" s="7"/>
      <c r="D48" s="1" t="s">
        <v>62</v>
      </c>
      <c r="E48" s="1" t="s">
        <v>61</v>
      </c>
    </row>
    <row r="49" spans="1:6" ht="41.25" customHeight="1" x14ac:dyDescent="0.2">
      <c r="A49" s="7">
        <f t="shared" si="2"/>
        <v>1202500</v>
      </c>
      <c r="B49" s="7">
        <v>105000</v>
      </c>
      <c r="C49" s="7"/>
      <c r="D49" s="1" t="s">
        <v>64</v>
      </c>
      <c r="E49" s="1" t="s">
        <v>63</v>
      </c>
    </row>
    <row r="50" spans="1:6" ht="42" customHeight="1" x14ac:dyDescent="0.2">
      <c r="A50" s="7">
        <f t="shared" si="2"/>
        <v>1475500</v>
      </c>
      <c r="B50" s="7">
        <v>273000</v>
      </c>
      <c r="C50" s="7"/>
      <c r="D50" s="1" t="s">
        <v>66</v>
      </c>
      <c r="E50" s="1" t="s">
        <v>65</v>
      </c>
    </row>
    <row r="51" spans="1:6" ht="45" customHeight="1" x14ac:dyDescent="0.2">
      <c r="A51" s="7">
        <f t="shared" si="2"/>
        <v>1575500</v>
      </c>
      <c r="B51" s="7">
        <v>100000</v>
      </c>
      <c r="C51" s="7"/>
      <c r="D51" s="1" t="s">
        <v>68</v>
      </c>
      <c r="E51" s="1" t="s">
        <v>67</v>
      </c>
    </row>
    <row r="52" spans="1:6" ht="42" customHeight="1" x14ac:dyDescent="0.2">
      <c r="A52" s="7">
        <f t="shared" si="2"/>
        <v>1630500</v>
      </c>
      <c r="B52" s="7">
        <v>55000</v>
      </c>
      <c r="C52" s="7"/>
      <c r="D52" s="1" t="s">
        <v>70</v>
      </c>
      <c r="E52" s="1" t="s">
        <v>69</v>
      </c>
    </row>
    <row r="53" spans="1:6" ht="43.5" customHeight="1" x14ac:dyDescent="0.2">
      <c r="A53" s="7">
        <f t="shared" si="2"/>
        <v>1660500</v>
      </c>
      <c r="B53" s="7">
        <v>30000</v>
      </c>
      <c r="C53" s="7"/>
      <c r="D53" s="1" t="s">
        <v>72</v>
      </c>
      <c r="E53" s="1" t="s">
        <v>71</v>
      </c>
    </row>
    <row r="54" spans="1:6" ht="43.5" customHeight="1" x14ac:dyDescent="0.2">
      <c r="A54" s="7">
        <f t="shared" si="2"/>
        <v>1685500</v>
      </c>
      <c r="B54" s="7">
        <v>25000</v>
      </c>
      <c r="C54" s="7"/>
      <c r="D54" s="1" t="s">
        <v>74</v>
      </c>
      <c r="E54" s="1" t="s">
        <v>73</v>
      </c>
    </row>
    <row r="55" spans="1:6" x14ac:dyDescent="0.2">
      <c r="A55" s="8"/>
      <c r="B55" s="8">
        <f xml:space="preserve"> B42 + B43 + B44 + B45 + B46 + B47 + B48 +B49 + B50 + B51 + B52 + B53 + B54 +B35</f>
        <v>4417500</v>
      </c>
      <c r="C55" s="8">
        <f xml:space="preserve"> C42 + C43 + C44 + C45 + C46 + C47 + C48 + C49 + C50 + C51 + C52 + C53 + C54 +C35</f>
        <v>2732000</v>
      </c>
    </row>
    <row r="56" spans="1:6" ht="44.25" customHeight="1" x14ac:dyDescent="0.25">
      <c r="A56" s="8"/>
      <c r="B56" s="8"/>
      <c r="C56" s="8">
        <f xml:space="preserve"> A54</f>
        <v>1685500</v>
      </c>
      <c r="D56" s="5" t="s">
        <v>7</v>
      </c>
      <c r="E56" s="5" t="s">
        <v>8</v>
      </c>
    </row>
    <row r="57" spans="1:6" ht="15" x14ac:dyDescent="0.25">
      <c r="A57" s="5" t="s">
        <v>5</v>
      </c>
      <c r="D57" s="5" t="s">
        <v>4</v>
      </c>
    </row>
    <row r="58" spans="1:6" ht="27.75" customHeight="1" x14ac:dyDescent="0.3">
      <c r="A58" t="s">
        <v>9</v>
      </c>
      <c r="B58" s="2" t="s">
        <v>0</v>
      </c>
      <c r="C58" s="2"/>
    </row>
    <row r="59" spans="1:6" ht="29.25" customHeight="1" x14ac:dyDescent="0.4">
      <c r="A59" s="3" t="s">
        <v>18</v>
      </c>
      <c r="B59" s="6" t="s">
        <v>3</v>
      </c>
      <c r="C59" s="4" t="s">
        <v>1</v>
      </c>
      <c r="D59" s="4" t="s">
        <v>2</v>
      </c>
      <c r="E59" s="4" t="s">
        <v>6</v>
      </c>
    </row>
    <row r="60" spans="1:6" ht="27.75" customHeight="1" x14ac:dyDescent="0.2">
      <c r="A60" s="7">
        <f xml:space="preserve"> C56+B60-C60</f>
        <v>1734500</v>
      </c>
      <c r="B60" s="7">
        <v>49000</v>
      </c>
      <c r="C60" s="7"/>
      <c r="D60" s="1" t="s">
        <v>79</v>
      </c>
      <c r="E60" s="1" t="s">
        <v>78</v>
      </c>
      <c r="F60" s="8"/>
    </row>
    <row r="61" spans="1:6" ht="29.25" customHeight="1" x14ac:dyDescent="0.2">
      <c r="A61" s="7">
        <f xml:space="preserve"> A60 + B61-C61</f>
        <v>1779500</v>
      </c>
      <c r="B61" s="7">
        <v>45000</v>
      </c>
      <c r="C61" s="7"/>
      <c r="D61" s="1" t="s">
        <v>81</v>
      </c>
      <c r="E61" s="1" t="s">
        <v>80</v>
      </c>
    </row>
    <row r="62" spans="1:6" ht="28.5" customHeight="1" x14ac:dyDescent="0.2">
      <c r="A62" s="7">
        <f t="shared" ref="A62:A79" si="3" xml:space="preserve"> A61 + B62-C62</f>
        <v>1809500</v>
      </c>
      <c r="B62" s="7">
        <v>30000</v>
      </c>
      <c r="C62" s="7"/>
      <c r="D62" s="1" t="s">
        <v>72</v>
      </c>
      <c r="E62" s="1" t="s">
        <v>82</v>
      </c>
    </row>
    <row r="63" spans="1:6" ht="27.75" customHeight="1" x14ac:dyDescent="0.2">
      <c r="A63" s="7">
        <f t="shared" si="3"/>
        <v>1869500</v>
      </c>
      <c r="B63" s="7">
        <v>60000</v>
      </c>
      <c r="C63" s="7"/>
      <c r="D63" s="1" t="s">
        <v>23</v>
      </c>
      <c r="E63" s="1" t="s">
        <v>83</v>
      </c>
    </row>
    <row r="64" spans="1:6" ht="29.25" customHeight="1" x14ac:dyDescent="0.2">
      <c r="A64" s="7">
        <f t="shared" si="3"/>
        <v>1884500</v>
      </c>
      <c r="B64" s="7">
        <v>15000</v>
      </c>
      <c r="C64" s="7"/>
      <c r="D64" s="1" t="s">
        <v>85</v>
      </c>
      <c r="E64" s="1" t="s">
        <v>84</v>
      </c>
    </row>
    <row r="65" spans="1:6" ht="27.75" customHeight="1" x14ac:dyDescent="0.2">
      <c r="A65" s="7">
        <f t="shared" si="3"/>
        <v>2144500</v>
      </c>
      <c r="B65" s="7">
        <v>260000</v>
      </c>
      <c r="C65" s="7"/>
      <c r="D65" s="1" t="s">
        <v>87</v>
      </c>
      <c r="E65" s="1" t="s">
        <v>86</v>
      </c>
    </row>
    <row r="66" spans="1:6" ht="29.25" customHeight="1" x14ac:dyDescent="0.2">
      <c r="A66" s="7">
        <f t="shared" si="3"/>
        <v>2185500</v>
      </c>
      <c r="B66" s="7">
        <v>41000</v>
      </c>
      <c r="C66" s="7"/>
      <c r="D66" s="1" t="s">
        <v>89</v>
      </c>
      <c r="E66" s="1" t="s">
        <v>88</v>
      </c>
    </row>
    <row r="67" spans="1:6" ht="27.75" customHeight="1" x14ac:dyDescent="0.2">
      <c r="A67" s="7">
        <f t="shared" si="3"/>
        <v>2280500</v>
      </c>
      <c r="B67" s="7">
        <v>95000</v>
      </c>
      <c r="C67" s="7"/>
      <c r="D67" s="1" t="s">
        <v>91</v>
      </c>
      <c r="E67" s="1" t="s">
        <v>90</v>
      </c>
    </row>
    <row r="68" spans="1:6" ht="28.5" customHeight="1" x14ac:dyDescent="0.2">
      <c r="A68" s="7">
        <f t="shared" si="3"/>
        <v>280500</v>
      </c>
      <c r="B68" s="7"/>
      <c r="C68" s="7">
        <v>2000000</v>
      </c>
      <c r="D68" s="1" t="s">
        <v>12</v>
      </c>
      <c r="E68" s="1" t="s">
        <v>92</v>
      </c>
    </row>
    <row r="69" spans="1:6" ht="27.75" customHeight="1" x14ac:dyDescent="0.2">
      <c r="A69" s="7">
        <f t="shared" si="3"/>
        <v>355500</v>
      </c>
      <c r="B69" s="7">
        <v>75000</v>
      </c>
      <c r="C69" s="7"/>
      <c r="D69" s="1" t="s">
        <v>94</v>
      </c>
      <c r="E69" s="1" t="s">
        <v>93</v>
      </c>
    </row>
    <row r="70" spans="1:6" ht="30.75" customHeight="1" x14ac:dyDescent="0.2">
      <c r="A70" s="7">
        <f t="shared" si="3"/>
        <v>391500</v>
      </c>
      <c r="B70" s="7">
        <v>36000</v>
      </c>
      <c r="C70" s="7"/>
      <c r="D70" s="1" t="s">
        <v>96</v>
      </c>
      <c r="E70" s="1" t="s">
        <v>95</v>
      </c>
    </row>
    <row r="71" spans="1:6" ht="29.25" customHeight="1" x14ac:dyDescent="0.2">
      <c r="A71" s="7">
        <f t="shared" si="3"/>
        <v>728500</v>
      </c>
      <c r="B71" s="7">
        <v>337000</v>
      </c>
      <c r="C71" s="7"/>
      <c r="D71" s="1" t="s">
        <v>98</v>
      </c>
      <c r="E71" s="1" t="s">
        <v>97</v>
      </c>
    </row>
    <row r="72" spans="1:6" ht="27.75" customHeight="1" x14ac:dyDescent="0.2">
      <c r="A72" s="7">
        <f t="shared" si="3"/>
        <v>438500</v>
      </c>
      <c r="B72" s="7"/>
      <c r="C72" s="7">
        <v>290000</v>
      </c>
      <c r="D72" s="1" t="s">
        <v>100</v>
      </c>
      <c r="E72" s="1" t="s">
        <v>99</v>
      </c>
      <c r="F72" s="8"/>
    </row>
    <row r="73" spans="1:6" ht="29.25" customHeight="1" x14ac:dyDescent="0.2">
      <c r="A73" s="7">
        <f t="shared" si="3"/>
        <v>638500</v>
      </c>
      <c r="B73" s="7">
        <v>200000</v>
      </c>
      <c r="C73" s="7"/>
      <c r="D73" s="1" t="s">
        <v>102</v>
      </c>
      <c r="E73" s="7" t="s">
        <v>101</v>
      </c>
      <c r="F73" s="8"/>
    </row>
    <row r="74" spans="1:6" ht="28.5" customHeight="1" x14ac:dyDescent="0.2">
      <c r="A74" s="7">
        <f t="shared" si="3"/>
        <v>785500</v>
      </c>
      <c r="B74" s="7">
        <v>147000</v>
      </c>
      <c r="C74" s="7"/>
      <c r="D74" s="12" t="s">
        <v>104</v>
      </c>
      <c r="E74" s="12" t="s">
        <v>103</v>
      </c>
      <c r="F74" s="8"/>
    </row>
    <row r="75" spans="1:6" ht="28.5" customHeight="1" x14ac:dyDescent="0.25">
      <c r="A75" s="7">
        <f t="shared" si="3"/>
        <v>825500</v>
      </c>
      <c r="B75" s="7">
        <v>40000</v>
      </c>
      <c r="C75" s="1"/>
      <c r="D75" s="9" t="s">
        <v>106</v>
      </c>
      <c r="E75" s="1" t="s">
        <v>105</v>
      </c>
      <c r="F75" s="8"/>
    </row>
    <row r="76" spans="1:6" ht="28.5" customHeight="1" x14ac:dyDescent="0.2">
      <c r="A76" s="7">
        <f t="shared" si="3"/>
        <v>925500</v>
      </c>
      <c r="B76" s="7">
        <v>100000</v>
      </c>
      <c r="C76" s="1"/>
      <c r="D76" s="1" t="s">
        <v>108</v>
      </c>
      <c r="E76" s="1" t="s">
        <v>107</v>
      </c>
    </row>
    <row r="77" spans="1:6" ht="29.25" customHeight="1" x14ac:dyDescent="0.2">
      <c r="A77" s="7">
        <f t="shared" si="3"/>
        <v>988500</v>
      </c>
      <c r="B77" s="7">
        <v>63000</v>
      </c>
      <c r="C77" s="1"/>
      <c r="D77" s="1" t="s">
        <v>110</v>
      </c>
      <c r="E77" s="1" t="s">
        <v>109</v>
      </c>
      <c r="F77" s="8"/>
    </row>
    <row r="78" spans="1:6" ht="27" customHeight="1" x14ac:dyDescent="0.2">
      <c r="A78" s="7">
        <f t="shared" si="3"/>
        <v>1013500</v>
      </c>
      <c r="B78" s="7">
        <v>25000</v>
      </c>
      <c r="C78" s="1"/>
      <c r="D78" s="1" t="s">
        <v>111</v>
      </c>
      <c r="E78" s="1" t="s">
        <v>109</v>
      </c>
      <c r="F78" s="8"/>
    </row>
    <row r="79" spans="1:6" ht="29.25" customHeight="1" x14ac:dyDescent="0.2">
      <c r="A79" s="7">
        <f t="shared" si="3"/>
        <v>1083500</v>
      </c>
      <c r="B79" s="7">
        <v>70000</v>
      </c>
      <c r="C79" s="1"/>
      <c r="D79" s="1" t="s">
        <v>113</v>
      </c>
      <c r="E79" s="1" t="s">
        <v>112</v>
      </c>
      <c r="F79" s="8"/>
    </row>
    <row r="80" spans="1:6" ht="30" customHeight="1" x14ac:dyDescent="0.2">
      <c r="B80" s="8">
        <f>SUM(B60:B79)+B55</f>
        <v>6105500</v>
      </c>
      <c r="C80" s="8">
        <f>SUM(C60:C79)+C55</f>
        <v>5022000</v>
      </c>
    </row>
    <row r="81" spans="1:6" ht="30" customHeight="1" x14ac:dyDescent="0.2"/>
    <row r="82" spans="1:6" ht="27" customHeight="1" x14ac:dyDescent="0.35">
      <c r="B82" s="11">
        <f>A79</f>
        <v>1083500</v>
      </c>
      <c r="C82" s="14" t="s">
        <v>75</v>
      </c>
      <c r="D82" s="14"/>
    </row>
    <row r="83" spans="1:6" ht="30" customHeight="1" x14ac:dyDescent="0.2"/>
    <row r="84" spans="1:6" ht="15.75" x14ac:dyDescent="0.25">
      <c r="B84" s="10" t="s">
        <v>77</v>
      </c>
      <c r="C84" s="10"/>
      <c r="D84" s="10" t="s">
        <v>76</v>
      </c>
    </row>
    <row r="85" spans="1:6" ht="28.5" customHeight="1" x14ac:dyDescent="0.3">
      <c r="A85" t="s">
        <v>9</v>
      </c>
      <c r="B85" s="2" t="s">
        <v>0</v>
      </c>
      <c r="C85" s="2"/>
    </row>
    <row r="86" spans="1:6" ht="27.75" customHeight="1" x14ac:dyDescent="0.4">
      <c r="A86" s="3" t="s">
        <v>18</v>
      </c>
      <c r="B86" s="6" t="s">
        <v>3</v>
      </c>
      <c r="C86" s="4" t="s">
        <v>1</v>
      </c>
      <c r="D86" s="4" t="s">
        <v>2</v>
      </c>
      <c r="E86" s="4" t="s">
        <v>6</v>
      </c>
    </row>
    <row r="87" spans="1:6" ht="28.5" customHeight="1" x14ac:dyDescent="0.2">
      <c r="A87" s="7">
        <f>B82+B87-C87</f>
        <v>1103500</v>
      </c>
      <c r="B87" s="7">
        <v>20000</v>
      </c>
      <c r="C87" s="7"/>
      <c r="D87" s="1" t="s">
        <v>115</v>
      </c>
      <c r="E87" s="1" t="s">
        <v>114</v>
      </c>
      <c r="F87" s="8"/>
    </row>
    <row r="88" spans="1:6" ht="28.5" customHeight="1" x14ac:dyDescent="0.2">
      <c r="A88" s="7">
        <f>A87+B88-C88</f>
        <v>1156500</v>
      </c>
      <c r="B88" s="7">
        <v>53000</v>
      </c>
      <c r="C88" s="7"/>
      <c r="D88" s="1" t="s">
        <v>117</v>
      </c>
      <c r="E88" s="1" t="s">
        <v>116</v>
      </c>
    </row>
    <row r="89" spans="1:6" ht="28.5" customHeight="1" x14ac:dyDescent="0.2">
      <c r="A89" s="7">
        <f>A88+B89-C89</f>
        <v>1294500</v>
      </c>
      <c r="B89" s="7">
        <v>138000</v>
      </c>
      <c r="C89" s="7"/>
      <c r="D89" s="1" t="s">
        <v>119</v>
      </c>
      <c r="E89" s="1" t="s">
        <v>118</v>
      </c>
    </row>
    <row r="90" spans="1:6" ht="28.5" customHeight="1" x14ac:dyDescent="0.2">
      <c r="A90" s="7">
        <f>A89+B90-C90</f>
        <v>294500</v>
      </c>
      <c r="B90" s="7"/>
      <c r="C90" s="7">
        <v>1000000</v>
      </c>
      <c r="D90" s="1" t="s">
        <v>12</v>
      </c>
      <c r="E90" s="1" t="s">
        <v>118</v>
      </c>
    </row>
    <row r="91" spans="1:6" ht="28.5" customHeight="1" x14ac:dyDescent="0.2">
      <c r="A91" s="7">
        <f t="shared" ref="A91:A106" si="4">A90+B91-C91</f>
        <v>1064500</v>
      </c>
      <c r="B91" s="7">
        <v>770000</v>
      </c>
      <c r="C91" s="7"/>
      <c r="D91" s="1" t="s">
        <v>120</v>
      </c>
      <c r="E91" s="1" t="s">
        <v>118</v>
      </c>
    </row>
    <row r="92" spans="1:6" ht="28.5" customHeight="1" x14ac:dyDescent="0.2">
      <c r="A92" s="7">
        <f t="shared" si="4"/>
        <v>1186500</v>
      </c>
      <c r="B92" s="7">
        <v>122000</v>
      </c>
      <c r="C92" s="7"/>
      <c r="D92" s="1" t="s">
        <v>122</v>
      </c>
      <c r="E92" s="1" t="s">
        <v>121</v>
      </c>
    </row>
    <row r="93" spans="1:6" ht="28.5" customHeight="1" x14ac:dyDescent="0.2">
      <c r="A93" s="7">
        <f t="shared" si="4"/>
        <v>1369500</v>
      </c>
      <c r="B93" s="7">
        <v>183000</v>
      </c>
      <c r="C93" s="7"/>
      <c r="D93" s="1" t="s">
        <v>124</v>
      </c>
      <c r="E93" s="1" t="s">
        <v>123</v>
      </c>
    </row>
    <row r="94" spans="1:6" ht="28.5" customHeight="1" x14ac:dyDescent="0.2">
      <c r="A94" s="7">
        <f t="shared" si="4"/>
        <v>1472500</v>
      </c>
      <c r="B94" s="7">
        <v>103000</v>
      </c>
      <c r="C94" s="7"/>
      <c r="D94" s="1" t="s">
        <v>119</v>
      </c>
      <c r="E94" s="1" t="s">
        <v>125</v>
      </c>
    </row>
    <row r="95" spans="1:6" ht="28.5" customHeight="1" x14ac:dyDescent="0.2">
      <c r="A95" s="7">
        <f t="shared" si="4"/>
        <v>1622500</v>
      </c>
      <c r="B95" s="7">
        <v>150000</v>
      </c>
      <c r="C95" s="7"/>
      <c r="D95" s="1" t="s">
        <v>126</v>
      </c>
      <c r="E95" s="1" t="s">
        <v>125</v>
      </c>
    </row>
    <row r="96" spans="1:6" ht="28.5" customHeight="1" x14ac:dyDescent="0.2">
      <c r="A96" s="7">
        <f t="shared" si="4"/>
        <v>1502500</v>
      </c>
      <c r="B96" s="7"/>
      <c r="C96" s="7">
        <v>120000</v>
      </c>
      <c r="D96" s="1" t="s">
        <v>127</v>
      </c>
      <c r="E96" s="1" t="s">
        <v>125</v>
      </c>
    </row>
    <row r="97" spans="1:6" ht="28.5" customHeight="1" x14ac:dyDescent="0.2">
      <c r="A97" s="7">
        <f t="shared" si="4"/>
        <v>1557500</v>
      </c>
      <c r="B97" s="7">
        <v>55000</v>
      </c>
      <c r="C97" s="7"/>
      <c r="D97" s="1" t="s">
        <v>129</v>
      </c>
      <c r="E97" s="1" t="s">
        <v>128</v>
      </c>
    </row>
    <row r="98" spans="1:6" ht="28.5" customHeight="1" x14ac:dyDescent="0.2">
      <c r="A98" s="7">
        <f t="shared" si="4"/>
        <v>557500</v>
      </c>
      <c r="B98" s="7"/>
      <c r="C98" s="7">
        <v>1000000</v>
      </c>
      <c r="D98" s="1" t="s">
        <v>12</v>
      </c>
      <c r="E98" s="1" t="s">
        <v>130</v>
      </c>
    </row>
    <row r="99" spans="1:6" ht="28.5" customHeight="1" x14ac:dyDescent="0.2">
      <c r="A99" s="7">
        <f t="shared" si="4"/>
        <v>625500</v>
      </c>
      <c r="B99" s="7">
        <v>68000</v>
      </c>
      <c r="C99" s="7"/>
      <c r="D99" s="1" t="s">
        <v>132</v>
      </c>
      <c r="E99" s="1" t="s">
        <v>131</v>
      </c>
      <c r="F99" s="8"/>
    </row>
    <row r="100" spans="1:6" ht="28.5" customHeight="1" x14ac:dyDescent="0.2">
      <c r="A100" s="7">
        <f t="shared" si="4"/>
        <v>777500</v>
      </c>
      <c r="B100" s="7">
        <v>152000</v>
      </c>
      <c r="C100" s="7"/>
      <c r="D100" s="1" t="s">
        <v>134</v>
      </c>
      <c r="E100" s="7" t="s">
        <v>133</v>
      </c>
      <c r="F100" s="8"/>
    </row>
    <row r="101" spans="1:6" ht="28.5" customHeight="1" x14ac:dyDescent="0.2">
      <c r="A101" s="7">
        <f t="shared" si="4"/>
        <v>942500</v>
      </c>
      <c r="B101" s="7">
        <v>165000</v>
      </c>
      <c r="C101" s="7"/>
      <c r="D101" s="12" t="s">
        <v>136</v>
      </c>
      <c r="E101" s="12" t="s">
        <v>135</v>
      </c>
      <c r="F101" s="8"/>
    </row>
    <row r="102" spans="1:6" ht="28.5" customHeight="1" x14ac:dyDescent="0.2">
      <c r="A102" s="7">
        <f t="shared" si="4"/>
        <v>1010500</v>
      </c>
      <c r="B102" s="7">
        <v>68000</v>
      </c>
      <c r="C102" s="1"/>
      <c r="D102" s="12" t="s">
        <v>138</v>
      </c>
      <c r="E102" s="1" t="s">
        <v>137</v>
      </c>
      <c r="F102" s="8"/>
    </row>
    <row r="103" spans="1:6" ht="28.5" customHeight="1" x14ac:dyDescent="0.2">
      <c r="A103" s="7">
        <f t="shared" si="4"/>
        <v>1155500</v>
      </c>
      <c r="B103" s="7">
        <v>145000</v>
      </c>
      <c r="C103" s="1"/>
      <c r="D103" s="1" t="s">
        <v>140</v>
      </c>
      <c r="E103" s="1" t="s">
        <v>139</v>
      </c>
    </row>
    <row r="104" spans="1:6" ht="28.5" customHeight="1" x14ac:dyDescent="0.2">
      <c r="A104" s="7">
        <f t="shared" si="4"/>
        <v>1375500</v>
      </c>
      <c r="B104" s="7">
        <v>220000</v>
      </c>
      <c r="C104" s="1"/>
      <c r="D104" s="1" t="s">
        <v>141</v>
      </c>
      <c r="E104" s="1"/>
      <c r="F104" s="8"/>
    </row>
    <row r="105" spans="1:6" ht="28.5" customHeight="1" x14ac:dyDescent="0.2">
      <c r="A105" s="7">
        <f t="shared" si="4"/>
        <v>375500</v>
      </c>
      <c r="B105" s="1"/>
      <c r="C105" s="1">
        <v>1000000</v>
      </c>
      <c r="D105" s="1" t="s">
        <v>12</v>
      </c>
      <c r="E105" s="1" t="s">
        <v>142</v>
      </c>
      <c r="F105" s="8"/>
    </row>
    <row r="106" spans="1:6" ht="28.5" customHeight="1" x14ac:dyDescent="0.2">
      <c r="A106" s="7">
        <f t="shared" si="4"/>
        <v>482500</v>
      </c>
      <c r="B106" s="1">
        <v>107000</v>
      </c>
      <c r="C106" s="1"/>
      <c r="D106" s="1" t="s">
        <v>144</v>
      </c>
      <c r="E106" s="1" t="s">
        <v>143</v>
      </c>
      <c r="F106" s="8"/>
    </row>
    <row r="107" spans="1:6" ht="28.5" customHeight="1" x14ac:dyDescent="0.2">
      <c r="B107" s="8">
        <f>SUM(B87:B106)+B80</f>
        <v>8624500</v>
      </c>
      <c r="C107" s="8">
        <f>SUM(C87:C106)+C80</f>
        <v>8142000</v>
      </c>
    </row>
    <row r="108" spans="1:6" ht="28.5" customHeight="1" x14ac:dyDescent="0.2"/>
    <row r="109" spans="1:6" ht="28.5" customHeight="1" x14ac:dyDescent="0.35">
      <c r="B109" s="11">
        <f>A106</f>
        <v>482500</v>
      </c>
      <c r="C109" s="14" t="s">
        <v>75</v>
      </c>
      <c r="D109" s="14"/>
    </row>
    <row r="110" spans="1:6" ht="28.5" customHeight="1" x14ac:dyDescent="0.25">
      <c r="B110" s="13" t="s">
        <v>77</v>
      </c>
      <c r="D110" s="13" t="s">
        <v>76</v>
      </c>
    </row>
    <row r="111" spans="1:6" ht="28.5" customHeight="1" x14ac:dyDescent="0.3">
      <c r="A111" t="s">
        <v>9</v>
      </c>
      <c r="B111" s="2" t="s">
        <v>0</v>
      </c>
      <c r="C111" s="2"/>
    </row>
    <row r="112" spans="1:6" ht="28.5" customHeight="1" x14ac:dyDescent="0.4">
      <c r="A112" s="3" t="s">
        <v>18</v>
      </c>
      <c r="B112" s="6" t="s">
        <v>3</v>
      </c>
      <c r="C112" s="4" t="s">
        <v>1</v>
      </c>
      <c r="D112" s="4" t="s">
        <v>2</v>
      </c>
      <c r="E112" s="4" t="s">
        <v>6</v>
      </c>
    </row>
    <row r="113" spans="1:5" ht="28.5" customHeight="1" x14ac:dyDescent="0.2">
      <c r="A113" s="7">
        <f>B109+B113-C113</f>
        <v>637500</v>
      </c>
      <c r="B113" s="7">
        <v>155000</v>
      </c>
      <c r="C113" s="7"/>
      <c r="D113" s="7" t="s">
        <v>146</v>
      </c>
      <c r="E113" s="1" t="s">
        <v>145</v>
      </c>
    </row>
    <row r="114" spans="1:5" ht="28.5" customHeight="1" x14ac:dyDescent="0.2">
      <c r="A114" s="7">
        <f>A113+B114-C114</f>
        <v>687500</v>
      </c>
      <c r="B114" s="7">
        <v>50000</v>
      </c>
      <c r="C114" s="7"/>
      <c r="D114" s="7" t="s">
        <v>10</v>
      </c>
      <c r="E114" s="1" t="s">
        <v>147</v>
      </c>
    </row>
    <row r="115" spans="1:5" ht="28.5" customHeight="1" x14ac:dyDescent="0.2">
      <c r="A115" s="7">
        <f>A114+B115-C115</f>
        <v>732500</v>
      </c>
      <c r="B115" s="7">
        <v>45000</v>
      </c>
      <c r="C115" s="7"/>
      <c r="D115" s="7" t="s">
        <v>146</v>
      </c>
      <c r="E115" s="1" t="s">
        <v>148</v>
      </c>
    </row>
    <row r="116" spans="1:5" ht="28.5" customHeight="1" x14ac:dyDescent="0.2">
      <c r="A116" s="7">
        <f>A115+B116-C116</f>
        <v>982500</v>
      </c>
      <c r="B116" s="7">
        <v>250000</v>
      </c>
      <c r="C116" s="7"/>
      <c r="D116" s="7" t="s">
        <v>150</v>
      </c>
      <c r="E116" s="1" t="s">
        <v>149</v>
      </c>
    </row>
    <row r="117" spans="1:5" ht="28.5" customHeight="1" x14ac:dyDescent="0.2">
      <c r="A117" s="7">
        <f>A116+B117-C117</f>
        <v>1069500</v>
      </c>
      <c r="B117" s="7">
        <v>87000</v>
      </c>
      <c r="C117" s="7"/>
      <c r="D117" s="7" t="s">
        <v>152</v>
      </c>
      <c r="E117" s="1" t="s">
        <v>151</v>
      </c>
    </row>
    <row r="118" spans="1:5" ht="28.5" customHeight="1" x14ac:dyDescent="0.2">
      <c r="A118" s="7">
        <f t="shared" ref="A118:A132" si="5">A117+B118-C118</f>
        <v>1114500</v>
      </c>
      <c r="B118" s="7">
        <v>45000</v>
      </c>
      <c r="C118" s="7"/>
      <c r="D118" s="7"/>
      <c r="E118" s="1"/>
    </row>
    <row r="119" spans="1:5" ht="28.5" customHeight="1" x14ac:dyDescent="0.2">
      <c r="A119" s="7">
        <f>A118+B119-C119</f>
        <v>1184500</v>
      </c>
      <c r="B119" s="7">
        <v>70000</v>
      </c>
      <c r="C119" s="7"/>
      <c r="D119" s="7" t="s">
        <v>154</v>
      </c>
      <c r="E119" s="1" t="s">
        <v>153</v>
      </c>
    </row>
    <row r="120" spans="1:5" ht="28.5" customHeight="1" x14ac:dyDescent="0.2">
      <c r="A120" s="7">
        <f t="shared" si="5"/>
        <v>644500</v>
      </c>
      <c r="B120" s="7"/>
      <c r="C120" s="7">
        <v>540000</v>
      </c>
      <c r="D120" s="7" t="s">
        <v>156</v>
      </c>
      <c r="E120" s="1" t="s">
        <v>155</v>
      </c>
    </row>
    <row r="121" spans="1:5" ht="28.5" customHeight="1" x14ac:dyDescent="0.2">
      <c r="A121" s="7">
        <f t="shared" si="5"/>
        <v>764500</v>
      </c>
      <c r="B121" s="7">
        <v>120000</v>
      </c>
      <c r="C121" s="7"/>
      <c r="D121" s="7" t="s">
        <v>158</v>
      </c>
      <c r="E121" s="1" t="s">
        <v>157</v>
      </c>
    </row>
    <row r="122" spans="1:5" ht="28.5" customHeight="1" x14ac:dyDescent="0.2">
      <c r="A122" s="7">
        <f t="shared" si="5"/>
        <v>834500</v>
      </c>
      <c r="B122" s="7">
        <v>70000</v>
      </c>
      <c r="C122" s="7"/>
      <c r="D122" s="7" t="s">
        <v>160</v>
      </c>
      <c r="E122" s="1" t="s">
        <v>159</v>
      </c>
    </row>
    <row r="123" spans="1:5" ht="28.5" customHeight="1" x14ac:dyDescent="0.2">
      <c r="A123" s="7">
        <f t="shared" si="5"/>
        <v>914500</v>
      </c>
      <c r="B123" s="7">
        <v>80000</v>
      </c>
      <c r="C123" s="7"/>
      <c r="D123" s="7" t="s">
        <v>162</v>
      </c>
      <c r="E123" s="1" t="s">
        <v>161</v>
      </c>
    </row>
    <row r="124" spans="1:5" ht="28.5" customHeight="1" x14ac:dyDescent="0.2">
      <c r="A124" s="7">
        <f t="shared" si="5"/>
        <v>944500</v>
      </c>
      <c r="B124" s="7">
        <v>30000</v>
      </c>
      <c r="C124" s="7"/>
      <c r="D124" s="7" t="s">
        <v>164</v>
      </c>
      <c r="E124" s="1" t="s">
        <v>163</v>
      </c>
    </row>
    <row r="125" spans="1:5" ht="28.5" customHeight="1" x14ac:dyDescent="0.2">
      <c r="A125" s="7">
        <f t="shared" si="5"/>
        <v>1044500</v>
      </c>
      <c r="B125" s="7">
        <v>100000</v>
      </c>
      <c r="C125" s="7"/>
      <c r="D125" s="7" t="s">
        <v>166</v>
      </c>
      <c r="E125" s="1" t="s">
        <v>165</v>
      </c>
    </row>
    <row r="126" spans="1:5" ht="28.5" customHeight="1" x14ac:dyDescent="0.2">
      <c r="A126" s="7">
        <f t="shared" si="5"/>
        <v>1144500</v>
      </c>
      <c r="B126" s="7">
        <v>100000</v>
      </c>
      <c r="C126" s="7"/>
      <c r="D126" s="7" t="s">
        <v>167</v>
      </c>
      <c r="E126" s="1" t="s">
        <v>163</v>
      </c>
    </row>
    <row r="127" spans="1:5" ht="28.5" customHeight="1" x14ac:dyDescent="0.2">
      <c r="A127" s="7">
        <f t="shared" si="5"/>
        <v>1094500</v>
      </c>
      <c r="B127" s="7"/>
      <c r="C127" s="7">
        <v>50000</v>
      </c>
      <c r="D127" s="7" t="s">
        <v>12</v>
      </c>
      <c r="E127" s="1"/>
    </row>
    <row r="128" spans="1:5" ht="28.5" customHeight="1" x14ac:dyDescent="0.2">
      <c r="A128" s="7">
        <f t="shared" si="5"/>
        <v>1169500</v>
      </c>
      <c r="B128" s="7">
        <v>75000</v>
      </c>
      <c r="C128" s="7"/>
      <c r="D128" s="7" t="s">
        <v>169</v>
      </c>
      <c r="E128" s="1" t="s">
        <v>168</v>
      </c>
    </row>
    <row r="129" spans="1:5" ht="28.5" customHeight="1" x14ac:dyDescent="0.2">
      <c r="A129" s="7">
        <f t="shared" si="5"/>
        <v>1386500</v>
      </c>
      <c r="B129" s="7">
        <v>217000</v>
      </c>
      <c r="C129" s="7"/>
      <c r="D129" s="7" t="s">
        <v>37</v>
      </c>
      <c r="E129" s="1" t="s">
        <v>170</v>
      </c>
    </row>
    <row r="130" spans="1:5" ht="28.5" customHeight="1" x14ac:dyDescent="0.2">
      <c r="A130" s="7">
        <f t="shared" si="5"/>
        <v>1466500</v>
      </c>
      <c r="B130" s="7">
        <v>80000</v>
      </c>
      <c r="C130" s="7"/>
      <c r="D130" s="7" t="s">
        <v>172</v>
      </c>
      <c r="E130" s="1" t="s">
        <v>171</v>
      </c>
    </row>
    <row r="131" spans="1:5" ht="28.5" customHeight="1" x14ac:dyDescent="0.2">
      <c r="A131" s="7">
        <f t="shared" si="5"/>
        <v>1591500</v>
      </c>
      <c r="B131" s="7">
        <v>125000</v>
      </c>
      <c r="C131" s="7"/>
      <c r="D131" s="7" t="s">
        <v>158</v>
      </c>
      <c r="E131" s="1" t="s">
        <v>173</v>
      </c>
    </row>
    <row r="132" spans="1:5" ht="28.5" customHeight="1" x14ac:dyDescent="0.2">
      <c r="A132" s="7">
        <f t="shared" si="5"/>
        <v>1071500</v>
      </c>
      <c r="B132" s="7"/>
      <c r="C132" s="7">
        <v>520000</v>
      </c>
      <c r="D132" s="7" t="s">
        <v>175</v>
      </c>
      <c r="E132" s="1" t="s">
        <v>174</v>
      </c>
    </row>
    <row r="133" spans="1:5" ht="28.5" customHeight="1" x14ac:dyDescent="0.2">
      <c r="A133" s="8"/>
      <c r="B133" s="8">
        <f>SUM(B113:B132)+B107</f>
        <v>10323500</v>
      </c>
      <c r="C133" s="8">
        <f>SUM(C113:C132)+C107</f>
        <v>9252000</v>
      </c>
      <c r="D133" s="8"/>
    </row>
    <row r="134" spans="1:5" ht="28.5" customHeight="1" x14ac:dyDescent="0.2"/>
    <row r="135" spans="1:5" ht="28.5" customHeight="1" x14ac:dyDescent="0.35">
      <c r="B135" s="11">
        <f>A132</f>
        <v>1071500</v>
      </c>
      <c r="C135" s="14" t="s">
        <v>75</v>
      </c>
      <c r="D135" s="14"/>
    </row>
    <row r="136" spans="1:5" ht="28.5" customHeight="1" x14ac:dyDescent="0.25">
      <c r="B136" s="13" t="s">
        <v>77</v>
      </c>
      <c r="D136" s="13" t="s">
        <v>76</v>
      </c>
    </row>
    <row r="137" spans="1:5" ht="28.5" customHeight="1" x14ac:dyDescent="0.3">
      <c r="A137" t="s">
        <v>9</v>
      </c>
      <c r="B137" s="2" t="s">
        <v>0</v>
      </c>
      <c r="C137" s="2"/>
    </row>
    <row r="138" spans="1:5" ht="28.5" customHeight="1" x14ac:dyDescent="0.4">
      <c r="A138" s="3" t="s">
        <v>18</v>
      </c>
      <c r="B138" s="6" t="s">
        <v>3</v>
      </c>
      <c r="C138" s="4" t="s">
        <v>1</v>
      </c>
      <c r="D138" s="4" t="s">
        <v>2</v>
      </c>
      <c r="E138" s="4" t="s">
        <v>6</v>
      </c>
    </row>
    <row r="139" spans="1:5" ht="28.5" customHeight="1" x14ac:dyDescent="0.2">
      <c r="A139" s="7">
        <f>B135+B139-C139</f>
        <v>1121500</v>
      </c>
      <c r="B139" s="7">
        <v>50000</v>
      </c>
      <c r="C139" s="7"/>
      <c r="D139" s="7" t="s">
        <v>176</v>
      </c>
      <c r="E139" s="1" t="s">
        <v>174</v>
      </c>
    </row>
    <row r="140" spans="1:5" ht="28.5" customHeight="1" x14ac:dyDescent="0.2">
      <c r="A140" s="7">
        <f>A139+B140-C140</f>
        <v>1283500</v>
      </c>
      <c r="B140" s="7">
        <v>162000</v>
      </c>
      <c r="C140" s="7"/>
      <c r="D140" s="7" t="s">
        <v>178</v>
      </c>
      <c r="E140" s="1" t="s">
        <v>177</v>
      </c>
    </row>
    <row r="141" spans="1:5" ht="28.5" customHeight="1" x14ac:dyDescent="0.2">
      <c r="A141" s="7">
        <f>A140+B141-C141</f>
        <v>1769500</v>
      </c>
      <c r="B141" s="7">
        <v>486000</v>
      </c>
      <c r="C141" s="7"/>
      <c r="D141" s="7" t="s">
        <v>180</v>
      </c>
      <c r="E141" s="1" t="s">
        <v>179</v>
      </c>
    </row>
    <row r="142" spans="1:5" ht="28.5" customHeight="1" x14ac:dyDescent="0.2">
      <c r="A142" s="7">
        <f>A141+B142-C142</f>
        <v>1286500</v>
      </c>
      <c r="B142" s="7"/>
      <c r="C142" s="7">
        <v>483000</v>
      </c>
      <c r="D142" s="7" t="s">
        <v>12</v>
      </c>
      <c r="E142" s="1" t="s">
        <v>181</v>
      </c>
    </row>
    <row r="143" spans="1:5" ht="28.5" customHeight="1" x14ac:dyDescent="0.2">
      <c r="A143" s="7">
        <f>A142+B143-C143</f>
        <v>286500</v>
      </c>
      <c r="B143" s="7"/>
      <c r="C143" s="7">
        <v>1000000</v>
      </c>
      <c r="D143" s="7" t="s">
        <v>12</v>
      </c>
      <c r="E143" s="1" t="s">
        <v>182</v>
      </c>
    </row>
    <row r="144" spans="1:5" ht="28.5" customHeight="1" x14ac:dyDescent="0.2">
      <c r="A144" s="7">
        <f t="shared" ref="A144" si="6">A143+B144-C144</f>
        <v>351500</v>
      </c>
      <c r="B144" s="7">
        <v>65000</v>
      </c>
      <c r="C144" s="7"/>
      <c r="D144" s="7" t="s">
        <v>146</v>
      </c>
      <c r="E144" s="1"/>
    </row>
    <row r="145" spans="1:5" ht="28.5" customHeight="1" x14ac:dyDescent="0.2">
      <c r="A145" s="7">
        <f>A144+B145-C145</f>
        <v>993500</v>
      </c>
      <c r="B145" s="7">
        <v>642000</v>
      </c>
      <c r="C145" s="7"/>
      <c r="D145" s="7" t="s">
        <v>185</v>
      </c>
      <c r="E145" s="1" t="s">
        <v>184</v>
      </c>
    </row>
    <row r="146" spans="1:5" ht="28.5" customHeight="1" x14ac:dyDescent="0.2">
      <c r="A146" s="7">
        <f t="shared" ref="A146:A158" si="7">A145+B146-C146</f>
        <v>-6500</v>
      </c>
      <c r="B146" s="7"/>
      <c r="C146" s="7">
        <v>1000000</v>
      </c>
      <c r="D146" s="7" t="s">
        <v>12</v>
      </c>
      <c r="E146" s="1" t="s">
        <v>186</v>
      </c>
    </row>
    <row r="147" spans="1:5" ht="28.5" customHeight="1" x14ac:dyDescent="0.2">
      <c r="A147" s="7">
        <f t="shared" si="7"/>
        <v>210500</v>
      </c>
      <c r="B147" s="7">
        <v>217000</v>
      </c>
      <c r="C147" s="7"/>
      <c r="D147" s="7" t="s">
        <v>119</v>
      </c>
      <c r="E147" s="1" t="s">
        <v>186</v>
      </c>
    </row>
    <row r="148" spans="1:5" ht="28.5" customHeight="1" x14ac:dyDescent="0.2">
      <c r="A148" s="7">
        <f t="shared" si="7"/>
        <v>450500</v>
      </c>
      <c r="B148" s="7">
        <v>240000</v>
      </c>
      <c r="C148" s="7"/>
      <c r="D148" s="7" t="s">
        <v>187</v>
      </c>
      <c r="E148" s="1"/>
    </row>
    <row r="149" spans="1:5" ht="28.5" customHeight="1" x14ac:dyDescent="0.2">
      <c r="A149" s="7">
        <f t="shared" si="7"/>
        <v>485500</v>
      </c>
      <c r="B149" s="7">
        <v>35000</v>
      </c>
      <c r="C149" s="7"/>
      <c r="D149" s="7"/>
      <c r="E149" s="1"/>
    </row>
    <row r="150" spans="1:5" ht="28.5" customHeight="1" x14ac:dyDescent="0.2">
      <c r="A150" s="7">
        <f t="shared" si="7"/>
        <v>5500</v>
      </c>
      <c r="B150" s="7"/>
      <c r="C150" s="7">
        <v>480000</v>
      </c>
      <c r="D150" s="7" t="s">
        <v>12</v>
      </c>
      <c r="E150" s="1"/>
    </row>
    <row r="151" spans="1:5" ht="28.5" customHeight="1" x14ac:dyDescent="0.2">
      <c r="A151" s="7">
        <f t="shared" si="7"/>
        <v>235500</v>
      </c>
      <c r="B151" s="7">
        <v>230000</v>
      </c>
      <c r="C151" s="7"/>
      <c r="D151" s="7" t="s">
        <v>188</v>
      </c>
      <c r="E151" s="1"/>
    </row>
    <row r="152" spans="1:5" ht="28.5" customHeight="1" x14ac:dyDescent="0.2">
      <c r="A152" s="7">
        <f t="shared" si="7"/>
        <v>35500</v>
      </c>
      <c r="B152" s="7"/>
      <c r="C152" s="7">
        <v>200000</v>
      </c>
      <c r="D152" s="7" t="s">
        <v>12</v>
      </c>
      <c r="E152" s="1"/>
    </row>
    <row r="153" spans="1:5" ht="28.5" customHeight="1" x14ac:dyDescent="0.2">
      <c r="A153" s="7">
        <f t="shared" si="7"/>
        <v>120500</v>
      </c>
      <c r="B153" s="7">
        <v>85000</v>
      </c>
      <c r="C153" s="7"/>
      <c r="D153" s="7" t="s">
        <v>190</v>
      </c>
      <c r="E153" s="1" t="s">
        <v>189</v>
      </c>
    </row>
    <row r="154" spans="1:5" ht="28.5" customHeight="1" x14ac:dyDescent="0.2">
      <c r="A154" s="7">
        <f t="shared" si="7"/>
        <v>266500</v>
      </c>
      <c r="B154" s="7">
        <v>146000</v>
      </c>
      <c r="C154" s="7"/>
      <c r="D154" s="7" t="s">
        <v>191</v>
      </c>
      <c r="E154" s="1"/>
    </row>
    <row r="155" spans="1:5" ht="28.5" customHeight="1" x14ac:dyDescent="0.2">
      <c r="A155" s="7">
        <f t="shared" si="7"/>
        <v>646500</v>
      </c>
      <c r="B155" s="7">
        <v>380000</v>
      </c>
      <c r="C155" s="7"/>
      <c r="D155" s="7" t="s">
        <v>193</v>
      </c>
      <c r="E155" s="1" t="s">
        <v>192</v>
      </c>
    </row>
    <row r="156" spans="1:5" ht="28.5" customHeight="1" x14ac:dyDescent="0.2">
      <c r="A156" s="7">
        <f t="shared" si="7"/>
        <v>646500</v>
      </c>
      <c r="B156" s="7"/>
      <c r="C156" s="7"/>
      <c r="D156" s="7"/>
      <c r="E156" s="1"/>
    </row>
    <row r="157" spans="1:5" ht="28.5" customHeight="1" x14ac:dyDescent="0.2">
      <c r="A157" s="7">
        <f t="shared" si="7"/>
        <v>646500</v>
      </c>
      <c r="B157" s="7"/>
      <c r="C157" s="7"/>
      <c r="D157" s="7"/>
      <c r="E157" s="1"/>
    </row>
    <row r="158" spans="1:5" ht="28.5" customHeight="1" x14ac:dyDescent="0.2">
      <c r="A158" s="7">
        <f t="shared" si="7"/>
        <v>646500</v>
      </c>
      <c r="B158" s="7"/>
      <c r="C158" s="7"/>
      <c r="D158" s="7"/>
      <c r="E158" s="1"/>
    </row>
    <row r="159" spans="1:5" ht="28.5" customHeight="1" x14ac:dyDescent="0.2">
      <c r="A159" s="8"/>
      <c r="B159" s="8">
        <f>SUM(B139:B158)+B133</f>
        <v>13061500</v>
      </c>
      <c r="C159" s="8">
        <f>SUM(C139:C158)+C133</f>
        <v>12415000</v>
      </c>
      <c r="D159" s="8"/>
    </row>
    <row r="160" spans="1:5" ht="28.5" customHeight="1" x14ac:dyDescent="0.2"/>
    <row r="161" spans="2:4" ht="28.5" customHeight="1" x14ac:dyDescent="0.35">
      <c r="B161" s="11">
        <f>A158</f>
        <v>646500</v>
      </c>
      <c r="C161" s="14" t="s">
        <v>183</v>
      </c>
      <c r="D161" s="14"/>
    </row>
    <row r="162" spans="2:4" ht="28.5" customHeight="1" x14ac:dyDescent="0.25">
      <c r="B162" s="13" t="s">
        <v>77</v>
      </c>
      <c r="D162" s="13" t="s">
        <v>76</v>
      </c>
    </row>
    <row r="163" spans="2:4" ht="28.5" customHeight="1" x14ac:dyDescent="0.2"/>
    <row r="164" spans="2:4" ht="28.5" customHeight="1" x14ac:dyDescent="0.2"/>
    <row r="165" spans="2:4" ht="28.5" customHeight="1" x14ac:dyDescent="0.2"/>
    <row r="166" spans="2:4" ht="28.5" customHeight="1" x14ac:dyDescent="0.2"/>
    <row r="167" spans="2:4" ht="28.5" customHeight="1" x14ac:dyDescent="0.2"/>
    <row r="168" spans="2:4" ht="28.5" customHeight="1" x14ac:dyDescent="0.2"/>
    <row r="169" spans="2:4" ht="28.5" customHeight="1" x14ac:dyDescent="0.2"/>
    <row r="170" spans="2:4" ht="28.5" customHeight="1" x14ac:dyDescent="0.2"/>
    <row r="171" spans="2:4" ht="28.5" customHeight="1" x14ac:dyDescent="0.2"/>
    <row r="172" spans="2:4" ht="28.5" customHeight="1" x14ac:dyDescent="0.2"/>
    <row r="173" spans="2:4" ht="28.5" customHeight="1" x14ac:dyDescent="0.2"/>
    <row r="174" spans="2:4" ht="28.5" customHeight="1" x14ac:dyDescent="0.2"/>
    <row r="175" spans="2:4" ht="28.5" customHeight="1" x14ac:dyDescent="0.2"/>
    <row r="176" spans="2:4" ht="28.5" customHeight="1" x14ac:dyDescent="0.2"/>
    <row r="177" ht="28.5" customHeight="1" x14ac:dyDescent="0.2"/>
    <row r="178" ht="28.5" customHeight="1" x14ac:dyDescent="0.2"/>
    <row r="179" ht="28.5" customHeight="1" x14ac:dyDescent="0.2"/>
    <row r="180" ht="28.5" customHeight="1" x14ac:dyDescent="0.2"/>
    <row r="181" ht="28.5" customHeight="1" x14ac:dyDescent="0.2"/>
    <row r="182" ht="28.5" customHeight="1" x14ac:dyDescent="0.2"/>
    <row r="183" ht="28.5" customHeight="1" x14ac:dyDescent="0.2"/>
    <row r="184" ht="28.5" customHeight="1" x14ac:dyDescent="0.2"/>
    <row r="185" ht="28.5" customHeight="1" x14ac:dyDescent="0.2"/>
    <row r="186" ht="28.5" customHeight="1" x14ac:dyDescent="0.2"/>
    <row r="187" ht="28.5" customHeight="1" x14ac:dyDescent="0.2"/>
    <row r="188" ht="28.5" customHeight="1" x14ac:dyDescent="0.2"/>
    <row r="189" ht="28.5" customHeight="1" x14ac:dyDescent="0.2"/>
    <row r="190" ht="28.5" customHeight="1" x14ac:dyDescent="0.2"/>
    <row r="191" ht="28.5" customHeight="1" x14ac:dyDescent="0.2"/>
    <row r="192" ht="28.5" customHeight="1" x14ac:dyDescent="0.2"/>
    <row r="193" ht="28.5" customHeight="1" x14ac:dyDescent="0.2"/>
    <row r="194" ht="28.5" customHeight="1" x14ac:dyDescent="0.2"/>
    <row r="195" ht="28.5" customHeight="1" x14ac:dyDescent="0.2"/>
    <row r="196" ht="28.5" customHeight="1" x14ac:dyDescent="0.2"/>
    <row r="197" ht="28.5" customHeight="1" x14ac:dyDescent="0.2"/>
    <row r="198" ht="28.5" customHeight="1" x14ac:dyDescent="0.2"/>
    <row r="199" ht="28.5" customHeight="1" x14ac:dyDescent="0.2"/>
    <row r="200" ht="28.5" customHeight="1" x14ac:dyDescent="0.2"/>
    <row r="201" ht="28.5" customHeight="1" x14ac:dyDescent="0.2"/>
    <row r="202" ht="28.5" customHeight="1" x14ac:dyDescent="0.2"/>
    <row r="203" ht="28.5" customHeight="1" x14ac:dyDescent="0.2"/>
    <row r="204" ht="28.5" customHeight="1" x14ac:dyDescent="0.2"/>
    <row r="205" ht="28.5" customHeight="1" x14ac:dyDescent="0.2"/>
    <row r="206" ht="28.5" customHeight="1" x14ac:dyDescent="0.2"/>
    <row r="207" ht="28.5" customHeight="1" x14ac:dyDescent="0.2"/>
    <row r="208" ht="28.5" customHeight="1" x14ac:dyDescent="0.2"/>
    <row r="209" ht="28.5" customHeight="1" x14ac:dyDescent="0.2"/>
    <row r="210" ht="28.5" customHeight="1" x14ac:dyDescent="0.2"/>
    <row r="211" ht="28.5" customHeight="1" x14ac:dyDescent="0.2"/>
    <row r="212" ht="28.5" customHeight="1" x14ac:dyDescent="0.2"/>
    <row r="213" ht="28.5" customHeight="1" x14ac:dyDescent="0.2"/>
    <row r="214" ht="28.5" customHeight="1" x14ac:dyDescent="0.2"/>
  </sheetData>
  <mergeCells count="4">
    <mergeCell ref="C82:D82"/>
    <mergeCell ref="C109:D109"/>
    <mergeCell ref="C135:D135"/>
    <mergeCell ref="C161:D161"/>
  </mergeCells>
  <conditionalFormatting sqref="B109">
    <cfRule type="cellIs" dxfId="8" priority="9" operator="lessThan">
      <formula>0</formula>
    </cfRule>
    <cfRule type="cellIs" dxfId="7" priority="8" operator="greaterThan">
      <formula>0</formula>
    </cfRule>
    <cfRule type="cellIs" dxfId="6" priority="7" operator="lessThanOrEqual">
      <formula>0</formula>
    </cfRule>
  </conditionalFormatting>
  <conditionalFormatting sqref="B135">
    <cfRule type="cellIs" dxfId="5" priority="6" operator="lessThanOrEqual">
      <formula>0</formula>
    </cfRule>
    <cfRule type="cellIs" dxfId="4" priority="5" operator="lessThanOrEqual">
      <formula>0</formula>
    </cfRule>
    <cfRule type="cellIs" dxfId="3" priority="4" operator="greaterThan">
      <formula>0</formula>
    </cfRule>
  </conditionalFormatting>
  <conditionalFormatting sqref="B161">
    <cfRule type="cellIs" dxfId="2" priority="1" operator="greaterThan">
      <formula>0</formula>
    </cfRule>
    <cfRule type="cellIs" dxfId="1" priority="2" operator="lessThanOrEqual">
      <formula>0</formula>
    </cfRule>
    <cfRule type="cellIs" dxfId="0" priority="3" operator="lessThanOr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2026-07-24T14:21:31Z</dcterms:modified>
</cp:coreProperties>
</file>