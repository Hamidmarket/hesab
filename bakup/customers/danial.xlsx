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6" i="1" l="1"/>
  <c r="B96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7" i="1" s="1"/>
  <c r="H2" i="1" s="1"/>
  <c r="A77" i="1"/>
  <c r="B71" i="1" l="1"/>
  <c r="C71" i="1"/>
  <c r="A52" i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C46" i="1" l="1"/>
  <c r="B4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7" i="1" s="1"/>
  <c r="C22" i="1" l="1"/>
  <c r="B2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A3" i="1"/>
</calcChain>
</file>

<file path=xl/sharedStrings.xml><?xml version="1.0" encoding="utf-8"?>
<sst xmlns="http://schemas.openxmlformats.org/spreadsheetml/2006/main" count="159" uniqueCount="91">
  <si>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</si>
  <si>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</si>
  <si>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</si>
  <si>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</si>
  <si>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</si>
  <si>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</si>
  <si>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</si>
  <si>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</si>
  <si>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</si>
  <si>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دانیال ابراهیمی</t>
  </si>
  <si>
    <t>1404/09/20</t>
  </si>
  <si>
    <t>دنگ دو گن</t>
  </si>
  <si>
    <t>1404/09/21</t>
  </si>
  <si>
    <t>دنگ مزه</t>
  </si>
  <si>
    <t>هایپ</t>
  </si>
  <si>
    <t>1404/09/24</t>
  </si>
  <si>
    <t>وجه</t>
  </si>
  <si>
    <t>1404/09/27</t>
  </si>
  <si>
    <t>دنپ تنباکو ذغال</t>
  </si>
  <si>
    <t>1404/10/04</t>
  </si>
  <si>
    <t>دنگ تنباکو ذغال</t>
  </si>
  <si>
    <t>1404/10/09</t>
  </si>
  <si>
    <t>دنگ سوسیس تخم مرغ یاسین</t>
  </si>
  <si>
    <t xml:space="preserve">دنگ تنباکو ذغال </t>
  </si>
  <si>
    <t>1404/10/13</t>
  </si>
  <si>
    <t>دنپ پیتزا</t>
  </si>
  <si>
    <t>1404/10/18</t>
  </si>
  <si>
    <t>1404/10/19</t>
  </si>
  <si>
    <t>سیگول کوپا</t>
  </si>
  <si>
    <t>1404/11/15</t>
  </si>
  <si>
    <t>1404/11/16</t>
  </si>
  <si>
    <t>دنگ گول بازی</t>
  </si>
  <si>
    <t>1404/11/17</t>
  </si>
  <si>
    <t>دنگ آبمیوه ساقه طلایی</t>
  </si>
  <si>
    <t>دنگ پاسور</t>
  </si>
  <si>
    <t>1404/11/20</t>
  </si>
  <si>
    <t>گول</t>
  </si>
  <si>
    <t>1404/11/29</t>
  </si>
  <si>
    <t>اسپرسو</t>
  </si>
  <si>
    <t>دنگ سوسیس سیگار</t>
  </si>
  <si>
    <t>1404/12/03</t>
  </si>
  <si>
    <t>دنگ عرق</t>
  </si>
  <si>
    <t>1404/12/07</t>
  </si>
  <si>
    <t>گول بازی</t>
  </si>
  <si>
    <t>1404/12/08</t>
  </si>
  <si>
    <t>دنگ ساندویچ</t>
  </si>
  <si>
    <t>1404/12/11</t>
  </si>
  <si>
    <t>1404/12/14</t>
  </si>
  <si>
    <t>1404/12/15</t>
  </si>
  <si>
    <t>گول  بازی</t>
  </si>
  <si>
    <t>1404/12/25</t>
  </si>
  <si>
    <t>1405/01/02</t>
  </si>
  <si>
    <t>گول بازی شوتکی</t>
  </si>
  <si>
    <t>1405/01/12</t>
  </si>
  <si>
    <t>1405/01/14</t>
  </si>
  <si>
    <t>1405/01/15</t>
  </si>
  <si>
    <t>وجه بنیامین</t>
  </si>
  <si>
    <t>1405/01/18</t>
  </si>
  <si>
    <t>های بای ابمیوه</t>
  </si>
  <si>
    <t>1405/01/23</t>
  </si>
  <si>
    <t>1405/01/29</t>
  </si>
  <si>
    <t>1405/01/30</t>
  </si>
  <si>
    <t>1405/02/06</t>
  </si>
  <si>
    <t>1405/02/15</t>
  </si>
  <si>
    <t>1405/02/22</t>
  </si>
  <si>
    <t>1405/03/03</t>
  </si>
  <si>
    <t>1405/03/10</t>
  </si>
  <si>
    <t>1405/03/16</t>
  </si>
  <si>
    <t>1405/03/27</t>
  </si>
  <si>
    <t>1405/03/30</t>
  </si>
  <si>
    <t>1405/04/04</t>
  </si>
  <si>
    <t>1405/04/05</t>
  </si>
  <si>
    <t>1405/04/10</t>
  </si>
  <si>
    <t>وجه تکیه گول</t>
  </si>
  <si>
    <t>1405/04/14</t>
  </si>
  <si>
    <t>1405/04/15</t>
  </si>
  <si>
    <t>وج</t>
  </si>
  <si>
    <t>1405/04/17</t>
  </si>
  <si>
    <t>1405/04/19</t>
  </si>
  <si>
    <t>کیک رضا</t>
  </si>
  <si>
    <t>ساندویچ باغ ممد جواد</t>
  </si>
  <si>
    <t>1405/04/27</t>
  </si>
  <si>
    <t>گوب</t>
  </si>
  <si>
    <t>1405/05/09</t>
  </si>
  <si>
    <t>1405/05/11</t>
  </si>
  <si>
    <t>1405/05/13</t>
  </si>
  <si>
    <t>گول بازی مزه باغ دامو</t>
  </si>
  <si>
    <t>1405/05/26</t>
  </si>
  <si>
    <t>1405/06/01</t>
  </si>
  <si>
    <t>مزه</t>
  </si>
  <si>
    <t>1405/06/02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</si>
</sst>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6"/>
  <sheetViews>
    <sheetView tabSelected="1" topLeftCell="A74" workbookViewId="0">
      <selection activeCell="B83" sqref="B83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A97</f>
        <v>2575000</v>
      </c>
    </row>
    <row r="3" spans="1:8" ht="30.75" customHeight="1" x14ac:dyDescent="0.2">
      <c r="A3" s="6">
        <f>B3-C3</f>
        <v>150000</v>
      </c>
      <c r="B3" s="6">
        <v>150000</v>
      </c>
      <c r="C3" s="6"/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253000</v>
      </c>
      <c r="B4" s="6">
        <v>103000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373000</v>
      </c>
      <c r="B5" s="6">
        <v>120000</v>
      </c>
      <c r="C5" s="6"/>
      <c r="D5" s="6" t="s">
        <v>14</v>
      </c>
      <c r="E5" s="3" t="s">
        <v>12</v>
      </c>
      <c r="F5" s="4"/>
    </row>
    <row r="6" spans="1:8" ht="30.75" customHeight="1" x14ac:dyDescent="0.2">
      <c r="A6" s="6">
        <f t="shared" si="0"/>
        <v>270000</v>
      </c>
      <c r="B6" s="6"/>
      <c r="C6" s="6">
        <v>103000</v>
      </c>
      <c r="D6" s="6" t="s">
        <v>16</v>
      </c>
      <c r="E6" s="3" t="s">
        <v>15</v>
      </c>
      <c r="F6" s="4"/>
    </row>
    <row r="7" spans="1:8" ht="30.75" customHeight="1" x14ac:dyDescent="0.2">
      <c r="A7" s="6">
        <f t="shared" si="0"/>
        <v>375000</v>
      </c>
      <c r="B7" s="6">
        <v>105000</v>
      </c>
      <c r="C7" s="6"/>
      <c r="D7" s="6" t="s">
        <v>18</v>
      </c>
      <c r="E7" s="3" t="s">
        <v>17</v>
      </c>
      <c r="F7" s="4"/>
    </row>
    <row r="8" spans="1:8" ht="30.75" customHeight="1" x14ac:dyDescent="0.2">
      <c r="A8" s="6">
        <f t="shared" si="0"/>
        <v>443000</v>
      </c>
      <c r="B8" s="6">
        <v>68000</v>
      </c>
      <c r="C8" s="6"/>
      <c r="D8" s="6" t="s">
        <v>20</v>
      </c>
      <c r="E8" s="3" t="s">
        <v>19</v>
      </c>
      <c r="F8" s="4"/>
    </row>
    <row r="9" spans="1:8" ht="30.75" customHeight="1" x14ac:dyDescent="0.2">
      <c r="A9" s="6">
        <f t="shared" si="0"/>
        <v>508000</v>
      </c>
      <c r="B9" s="6">
        <v>65000</v>
      </c>
      <c r="C9" s="6"/>
      <c r="D9" s="6" t="s">
        <v>22</v>
      </c>
      <c r="E9" s="3" t="s">
        <v>21</v>
      </c>
      <c r="F9" s="4"/>
    </row>
    <row r="10" spans="1:8" ht="30.75" customHeight="1" x14ac:dyDescent="0.2">
      <c r="A10" s="6">
        <f t="shared" si="0"/>
        <v>576000</v>
      </c>
      <c r="B10" s="6">
        <v>68000</v>
      </c>
      <c r="C10" s="6"/>
      <c r="D10" s="6" t="s">
        <v>23</v>
      </c>
      <c r="E10" s="3" t="s">
        <v>21</v>
      </c>
      <c r="F10" s="4"/>
    </row>
    <row r="11" spans="1:8" ht="30.75" customHeight="1" x14ac:dyDescent="0.2">
      <c r="A11" s="6">
        <f t="shared" si="0"/>
        <v>768000</v>
      </c>
      <c r="B11" s="6">
        <v>192000</v>
      </c>
      <c r="C11" s="6"/>
      <c r="D11" s="6" t="s">
        <v>25</v>
      </c>
      <c r="E11" s="3" t="s">
        <v>24</v>
      </c>
      <c r="F11" s="4"/>
    </row>
    <row r="12" spans="1:8" ht="30.75" customHeight="1" x14ac:dyDescent="0.2">
      <c r="A12" s="6">
        <f t="shared" si="0"/>
        <v>400000</v>
      </c>
      <c r="B12" s="6"/>
      <c r="C12" s="6">
        <v>368000</v>
      </c>
      <c r="D12" s="6" t="s">
        <v>16</v>
      </c>
      <c r="E12" s="3" t="s">
        <v>26</v>
      </c>
      <c r="F12" s="4"/>
    </row>
    <row r="13" spans="1:8" ht="30.75" customHeight="1" x14ac:dyDescent="0.2">
      <c r="A13" s="6">
        <f t="shared" si="0"/>
        <v>450000</v>
      </c>
      <c r="B13" s="6">
        <v>50000</v>
      </c>
      <c r="C13" s="6"/>
      <c r="D13" s="6" t="s">
        <v>28</v>
      </c>
      <c r="E13" s="3" t="s">
        <v>27</v>
      </c>
      <c r="F13" s="4"/>
    </row>
    <row r="14" spans="1:8" ht="30.75" customHeight="1" x14ac:dyDescent="0.2">
      <c r="A14" s="6">
        <f t="shared" si="0"/>
        <v>335000</v>
      </c>
      <c r="B14" s="6"/>
      <c r="C14" s="6">
        <v>115000</v>
      </c>
      <c r="D14" s="6" t="s">
        <v>16</v>
      </c>
      <c r="E14" s="3" t="s">
        <v>29</v>
      </c>
      <c r="F14" s="4"/>
    </row>
    <row r="15" spans="1:8" ht="30.75" customHeight="1" x14ac:dyDescent="0.2">
      <c r="A15" s="6">
        <f t="shared" si="0"/>
        <v>595000</v>
      </c>
      <c r="B15" s="6">
        <v>260000</v>
      </c>
      <c r="C15" s="6"/>
      <c r="D15" s="6" t="s">
        <v>31</v>
      </c>
      <c r="E15" s="3" t="s">
        <v>30</v>
      </c>
      <c r="F15" s="4"/>
    </row>
    <row r="16" spans="1:8" ht="30.75" customHeight="1" x14ac:dyDescent="0.2">
      <c r="A16" s="6">
        <f t="shared" si="0"/>
        <v>665000</v>
      </c>
      <c r="B16" s="6">
        <v>70000</v>
      </c>
      <c r="C16" s="6"/>
      <c r="D16" s="6" t="s">
        <v>33</v>
      </c>
      <c r="E16" s="3" t="s">
        <v>32</v>
      </c>
      <c r="F16" s="4"/>
    </row>
    <row r="17" spans="1:6" ht="30.75" customHeight="1" x14ac:dyDescent="0.2">
      <c r="A17" s="6">
        <f t="shared" si="0"/>
        <v>715000</v>
      </c>
      <c r="B17" s="6">
        <v>50000</v>
      </c>
      <c r="C17" s="6"/>
      <c r="D17" s="6" t="s">
        <v>34</v>
      </c>
      <c r="E17" s="3" t="s">
        <v>32</v>
      </c>
      <c r="F17" s="4"/>
    </row>
    <row r="18" spans="1:6" ht="30.75" customHeight="1" x14ac:dyDescent="0.2">
      <c r="A18" s="6">
        <f t="shared" si="0"/>
        <v>315000</v>
      </c>
      <c r="B18" s="6"/>
      <c r="C18" s="6">
        <v>400000</v>
      </c>
      <c r="D18" s="6" t="s">
        <v>16</v>
      </c>
      <c r="E18" s="3" t="s">
        <v>35</v>
      </c>
      <c r="F18" s="4"/>
    </row>
    <row r="19" spans="1:6" ht="30.75" customHeight="1" x14ac:dyDescent="0.2">
      <c r="A19" s="6">
        <f t="shared" si="0"/>
        <v>336000</v>
      </c>
      <c r="B19" s="6">
        <v>21000</v>
      </c>
      <c r="C19" s="6"/>
      <c r="D19" s="6" t="s">
        <v>36</v>
      </c>
      <c r="E19" s="3" t="s">
        <v>35</v>
      </c>
      <c r="F19" s="4"/>
    </row>
    <row r="20" spans="1:6" ht="30.75" customHeight="1" x14ac:dyDescent="0.2">
      <c r="A20" s="6">
        <f t="shared" si="0"/>
        <v>400000</v>
      </c>
      <c r="B20" s="6">
        <v>64000</v>
      </c>
      <c r="C20" s="6"/>
      <c r="D20" s="6" t="s">
        <v>38</v>
      </c>
      <c r="E20" s="3" t="s">
        <v>37</v>
      </c>
      <c r="F20" s="4"/>
    </row>
    <row r="21" spans="1:6" ht="30.75" customHeight="1" x14ac:dyDescent="0.2">
      <c r="A21" s="6">
        <f t="shared" si="0"/>
        <v>555000</v>
      </c>
      <c r="B21" s="6">
        <v>155000</v>
      </c>
      <c r="C21" s="6"/>
      <c r="D21" s="6"/>
      <c r="E21" s="3" t="s">
        <v>39</v>
      </c>
      <c r="F21" s="4"/>
    </row>
    <row r="22" spans="1:6" ht="30.75" customHeight="1" x14ac:dyDescent="0.2">
      <c r="A22" s="7"/>
      <c r="B22" s="7">
        <f>SUM(B3:B21)</f>
        <v>1541000</v>
      </c>
      <c r="C22" s="7">
        <f>SUM(C3:C21)</f>
        <v>986000</v>
      </c>
      <c r="D22" s="7"/>
      <c r="E22" s="5"/>
      <c r="F22" s="4"/>
    </row>
    <row r="23" spans="1:6" ht="30.75" customHeight="1" x14ac:dyDescent="0.2">
      <c r="A23" s="10">
        <f>A21</f>
        <v>555000</v>
      </c>
      <c r="B23" s="10"/>
      <c r="C23" s="11" t="s">
        <v>6</v>
      </c>
      <c r="D23" s="11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5">
      <c r="A25" t="s">
        <v>9</v>
      </c>
      <c r="B25" s="1" t="s">
        <v>0</v>
      </c>
    </row>
    <row r="26" spans="1:6" ht="30.75" customHeight="1" x14ac:dyDescent="0.3">
      <c r="A26" s="2" t="s">
        <v>5</v>
      </c>
      <c r="B26" s="2" t="s">
        <v>3</v>
      </c>
      <c r="C26" s="2" t="s">
        <v>4</v>
      </c>
      <c r="D26" s="2" t="s">
        <v>2</v>
      </c>
      <c r="E26" s="2" t="s">
        <v>1</v>
      </c>
    </row>
    <row r="27" spans="1:6" ht="30.75" customHeight="1" x14ac:dyDescent="0.2">
      <c r="A27" s="6">
        <f>B27-C27+A23</f>
        <v>609000</v>
      </c>
      <c r="B27" s="6">
        <v>54000</v>
      </c>
      <c r="C27" s="6"/>
      <c r="D27" s="6" t="s">
        <v>41</v>
      </c>
      <c r="E27" s="3" t="s">
        <v>40</v>
      </c>
    </row>
    <row r="28" spans="1:6" ht="30.75" customHeight="1" x14ac:dyDescent="0.2">
      <c r="A28" s="6">
        <f>A27+B28-C28</f>
        <v>639000</v>
      </c>
      <c r="B28" s="6">
        <v>30000</v>
      </c>
      <c r="C28" s="6"/>
      <c r="D28" s="6" t="s">
        <v>43</v>
      </c>
      <c r="E28" s="3" t="s">
        <v>42</v>
      </c>
    </row>
    <row r="29" spans="1:6" ht="30.75" customHeight="1" x14ac:dyDescent="0.2">
      <c r="A29" s="6">
        <f t="shared" ref="A29:A45" si="1">A28+B29-C29</f>
        <v>749000</v>
      </c>
      <c r="B29" s="6">
        <v>110000</v>
      </c>
      <c r="C29" s="6"/>
      <c r="D29" s="6" t="s">
        <v>45</v>
      </c>
      <c r="E29" s="3" t="s">
        <v>44</v>
      </c>
    </row>
    <row r="30" spans="1:6" ht="30.75" customHeight="1" x14ac:dyDescent="0.2">
      <c r="A30" s="6">
        <f t="shared" si="1"/>
        <v>797000</v>
      </c>
      <c r="B30" s="6">
        <v>48000</v>
      </c>
      <c r="C30" s="6"/>
      <c r="D30" s="6" t="s">
        <v>31</v>
      </c>
      <c r="E30" s="3" t="s">
        <v>44</v>
      </c>
    </row>
    <row r="31" spans="1:6" ht="30.75" customHeight="1" x14ac:dyDescent="0.2">
      <c r="A31" s="6">
        <f t="shared" si="1"/>
        <v>810000</v>
      </c>
      <c r="B31" s="6">
        <v>13000</v>
      </c>
      <c r="C31" s="6"/>
      <c r="D31" s="6" t="s">
        <v>31</v>
      </c>
      <c r="E31" s="3" t="s">
        <v>46</v>
      </c>
    </row>
    <row r="32" spans="1:6" ht="30.75" customHeight="1" x14ac:dyDescent="0.2">
      <c r="A32" s="6">
        <f t="shared" si="1"/>
        <v>410000</v>
      </c>
      <c r="B32" s="6"/>
      <c r="C32" s="6">
        <v>400000</v>
      </c>
      <c r="D32" s="6" t="s">
        <v>16</v>
      </c>
      <c r="E32" s="3"/>
    </row>
    <row r="33" spans="1:5" ht="30.75" customHeight="1" x14ac:dyDescent="0.2">
      <c r="A33" s="6">
        <f t="shared" si="1"/>
        <v>440000</v>
      </c>
      <c r="B33" s="6">
        <v>30000</v>
      </c>
      <c r="C33" s="6"/>
      <c r="D33" s="6" t="s">
        <v>43</v>
      </c>
      <c r="E33" s="3" t="s">
        <v>47</v>
      </c>
    </row>
    <row r="34" spans="1:5" ht="30.75" customHeight="1" x14ac:dyDescent="0.2">
      <c r="A34" s="6">
        <f t="shared" si="1"/>
        <v>504000</v>
      </c>
      <c r="B34" s="6">
        <v>64000</v>
      </c>
      <c r="C34" s="6"/>
      <c r="D34" s="6" t="s">
        <v>49</v>
      </c>
      <c r="E34" s="3" t="s">
        <v>48</v>
      </c>
    </row>
    <row r="35" spans="1:5" ht="30.75" customHeight="1" x14ac:dyDescent="0.2">
      <c r="A35" s="6">
        <f t="shared" si="1"/>
        <v>620000</v>
      </c>
      <c r="B35" s="6">
        <v>116000</v>
      </c>
      <c r="C35" s="6"/>
      <c r="D35" s="6" t="s">
        <v>43</v>
      </c>
      <c r="E35" s="3" t="s">
        <v>50</v>
      </c>
    </row>
    <row r="36" spans="1:5" ht="30.75" customHeight="1" x14ac:dyDescent="0.2">
      <c r="A36" s="6">
        <f t="shared" si="1"/>
        <v>775000</v>
      </c>
      <c r="B36" s="6">
        <v>155000</v>
      </c>
      <c r="C36" s="6"/>
      <c r="D36" s="6" t="s">
        <v>52</v>
      </c>
      <c r="E36" s="3" t="s">
        <v>51</v>
      </c>
    </row>
    <row r="37" spans="1:5" ht="30.75" customHeight="1" x14ac:dyDescent="0.2">
      <c r="A37" s="6">
        <f t="shared" si="1"/>
        <v>375000</v>
      </c>
      <c r="B37" s="6"/>
      <c r="C37" s="6">
        <v>400000</v>
      </c>
      <c r="D37" s="6"/>
      <c r="E37" s="3"/>
    </row>
    <row r="38" spans="1:5" ht="30.75" customHeight="1" x14ac:dyDescent="0.2">
      <c r="A38" s="6">
        <f t="shared" si="1"/>
        <v>500000</v>
      </c>
      <c r="B38" s="6">
        <v>125000</v>
      </c>
      <c r="C38" s="6"/>
      <c r="D38" s="6" t="s">
        <v>45</v>
      </c>
      <c r="E38" s="3" t="s">
        <v>53</v>
      </c>
    </row>
    <row r="39" spans="1:5" ht="30.75" customHeight="1" x14ac:dyDescent="0.2">
      <c r="A39" s="6">
        <f t="shared" si="1"/>
        <v>652000</v>
      </c>
      <c r="B39" s="6">
        <v>152000</v>
      </c>
      <c r="C39" s="6"/>
      <c r="D39" s="6" t="s">
        <v>31</v>
      </c>
      <c r="E39" s="3" t="s">
        <v>54</v>
      </c>
    </row>
    <row r="40" spans="1:5" ht="30.75" customHeight="1" x14ac:dyDescent="0.2">
      <c r="A40" s="6">
        <f t="shared" si="1"/>
        <v>492000</v>
      </c>
      <c r="B40" s="6"/>
      <c r="C40" s="6">
        <v>160000</v>
      </c>
      <c r="D40" s="6" t="s">
        <v>56</v>
      </c>
      <c r="E40" s="3" t="s">
        <v>55</v>
      </c>
    </row>
    <row r="41" spans="1:5" ht="30" customHeight="1" x14ac:dyDescent="0.2">
      <c r="A41" s="6">
        <f t="shared" si="1"/>
        <v>584000</v>
      </c>
      <c r="B41" s="6">
        <v>92000</v>
      </c>
      <c r="C41" s="6"/>
      <c r="D41" s="6" t="s">
        <v>58</v>
      </c>
      <c r="E41" s="3" t="s">
        <v>57</v>
      </c>
    </row>
    <row r="42" spans="1:5" ht="30" customHeight="1" x14ac:dyDescent="0.2">
      <c r="A42" s="6">
        <f t="shared" si="1"/>
        <v>717000</v>
      </c>
      <c r="B42" s="6">
        <v>133000</v>
      </c>
      <c r="C42" s="6"/>
      <c r="D42" s="6" t="s">
        <v>31</v>
      </c>
      <c r="E42" s="3" t="s">
        <v>59</v>
      </c>
    </row>
    <row r="43" spans="1:5" ht="30" customHeight="1" x14ac:dyDescent="0.2">
      <c r="A43" s="6">
        <f t="shared" si="1"/>
        <v>867000</v>
      </c>
      <c r="B43" s="6">
        <v>150000</v>
      </c>
      <c r="C43" s="6"/>
      <c r="D43" s="6" t="s">
        <v>43</v>
      </c>
      <c r="E43" s="3" t="s">
        <v>60</v>
      </c>
    </row>
    <row r="44" spans="1:5" ht="30" customHeight="1" x14ac:dyDescent="0.2">
      <c r="A44" s="6">
        <f t="shared" si="1"/>
        <v>503000</v>
      </c>
      <c r="B44" s="6"/>
      <c r="C44" s="6">
        <v>364000</v>
      </c>
      <c r="D44" s="6" t="s">
        <v>16</v>
      </c>
      <c r="E44" s="3" t="s">
        <v>61</v>
      </c>
    </row>
    <row r="45" spans="1:5" ht="30" customHeight="1" x14ac:dyDescent="0.2">
      <c r="A45" s="6">
        <f t="shared" si="1"/>
        <v>653000</v>
      </c>
      <c r="B45" s="6">
        <v>150000</v>
      </c>
      <c r="C45" s="6"/>
      <c r="D45" s="6" t="s">
        <v>43</v>
      </c>
      <c r="E45" s="3" t="s">
        <v>62</v>
      </c>
    </row>
    <row r="46" spans="1:5" ht="30" customHeight="1" x14ac:dyDescent="0.2">
      <c r="A46" s="7"/>
      <c r="B46" s="7">
        <f>SUM(B27:B45)+B22</f>
        <v>2963000</v>
      </c>
      <c r="C46" s="7">
        <f>SUM(C27:C45)+C22</f>
        <v>2310000</v>
      </c>
      <c r="D46" s="7"/>
      <c r="E46" s="5"/>
    </row>
    <row r="47" spans="1:5" ht="30" customHeight="1" x14ac:dyDescent="0.2">
      <c r="A47" s="10">
        <f>A45</f>
        <v>653000</v>
      </c>
      <c r="B47" s="10"/>
      <c r="C47" s="11" t="s">
        <v>6</v>
      </c>
      <c r="D47" s="11"/>
      <c r="E47" s="4"/>
    </row>
    <row r="48" spans="1:5" ht="30" customHeight="1" x14ac:dyDescent="0.2">
      <c r="A48" s="8"/>
      <c r="B48" s="8" t="s">
        <v>8</v>
      </c>
      <c r="C48" s="8"/>
      <c r="D48" s="8" t="s">
        <v>7</v>
      </c>
      <c r="E48" s="4"/>
    </row>
    <row r="49" spans="1:5" ht="30" customHeight="1" x14ac:dyDescent="0.2"/>
    <row r="50" spans="1:5" ht="30" customHeight="1" x14ac:dyDescent="0.25">
      <c r="A50" t="s">
        <v>9</v>
      </c>
      <c r="B50" s="1" t="s">
        <v>0</v>
      </c>
    </row>
    <row r="51" spans="1:5" ht="30" customHeight="1" x14ac:dyDescent="0.3">
      <c r="A51" s="2" t="s">
        <v>5</v>
      </c>
      <c r="B51" s="2" t="s">
        <v>3</v>
      </c>
      <c r="C51" s="2" t="s">
        <v>4</v>
      </c>
      <c r="D51" s="2" t="s">
        <v>2</v>
      </c>
      <c r="E51" s="2" t="s">
        <v>1</v>
      </c>
    </row>
    <row r="52" spans="1:5" ht="30" customHeight="1" x14ac:dyDescent="0.2">
      <c r="A52" s="6">
        <f>B52-C52+A47</f>
        <v>793000</v>
      </c>
      <c r="B52" s="6">
        <v>140000</v>
      </c>
      <c r="C52" s="6"/>
      <c r="D52" s="6" t="s">
        <v>43</v>
      </c>
      <c r="E52" s="3" t="s">
        <v>63</v>
      </c>
    </row>
    <row r="53" spans="1:5" ht="30" customHeight="1" x14ac:dyDescent="0.2">
      <c r="A53" s="6">
        <f>A52+B53-C53</f>
        <v>393000</v>
      </c>
      <c r="B53" s="6"/>
      <c r="C53" s="6">
        <v>400000</v>
      </c>
      <c r="D53" s="6" t="s">
        <v>16</v>
      </c>
      <c r="E53" s="3" t="s">
        <v>63</v>
      </c>
    </row>
    <row r="54" spans="1:5" ht="30" customHeight="1" x14ac:dyDescent="0.2">
      <c r="A54" s="6">
        <f t="shared" ref="A54:A70" si="2">A53+B54-C54</f>
        <v>533000</v>
      </c>
      <c r="B54" s="6">
        <v>140000</v>
      </c>
      <c r="C54" s="6"/>
      <c r="D54" s="6" t="s">
        <v>43</v>
      </c>
      <c r="E54" s="3" t="s">
        <v>64</v>
      </c>
    </row>
    <row r="55" spans="1:5" ht="30" customHeight="1" x14ac:dyDescent="0.2">
      <c r="A55" s="6">
        <f t="shared" si="2"/>
        <v>673000</v>
      </c>
      <c r="B55" s="6">
        <v>140000</v>
      </c>
      <c r="C55" s="6"/>
      <c r="D55" s="6" t="s">
        <v>43</v>
      </c>
      <c r="E55" s="3" t="s">
        <v>65</v>
      </c>
    </row>
    <row r="56" spans="1:5" ht="30" customHeight="1" x14ac:dyDescent="0.2">
      <c r="A56" s="6">
        <f t="shared" si="2"/>
        <v>273000</v>
      </c>
      <c r="B56" s="6"/>
      <c r="C56" s="6">
        <v>400000</v>
      </c>
      <c r="D56" s="6" t="s">
        <v>16</v>
      </c>
      <c r="E56" s="3" t="s">
        <v>66</v>
      </c>
    </row>
    <row r="57" spans="1:5" ht="30" customHeight="1" x14ac:dyDescent="0.2">
      <c r="A57" s="6">
        <f t="shared" si="2"/>
        <v>553000</v>
      </c>
      <c r="B57" s="6">
        <v>280000</v>
      </c>
      <c r="C57" s="6"/>
      <c r="D57" s="6" t="s">
        <v>43</v>
      </c>
      <c r="E57" s="3" t="s">
        <v>67</v>
      </c>
    </row>
    <row r="58" spans="1:5" ht="30" customHeight="1" x14ac:dyDescent="0.2">
      <c r="A58" s="6">
        <f t="shared" si="2"/>
        <v>728000</v>
      </c>
      <c r="B58" s="6">
        <v>175000</v>
      </c>
      <c r="C58" s="6"/>
      <c r="D58" s="6" t="s">
        <v>43</v>
      </c>
      <c r="E58" s="3" t="s">
        <v>68</v>
      </c>
    </row>
    <row r="59" spans="1:5" ht="30" customHeight="1" x14ac:dyDescent="0.2">
      <c r="A59" s="6">
        <f t="shared" si="2"/>
        <v>840000</v>
      </c>
      <c r="B59" s="6">
        <v>112000</v>
      </c>
      <c r="C59" s="6"/>
      <c r="D59" s="6" t="s">
        <v>43</v>
      </c>
      <c r="E59" s="3" t="s">
        <v>69</v>
      </c>
    </row>
    <row r="60" spans="1:5" ht="30" customHeight="1" x14ac:dyDescent="0.2">
      <c r="A60" s="6">
        <f t="shared" si="2"/>
        <v>924000</v>
      </c>
      <c r="B60" s="6">
        <v>84000</v>
      </c>
      <c r="C60" s="6"/>
      <c r="D60" s="6" t="s">
        <v>43</v>
      </c>
      <c r="E60" s="3" t="s">
        <v>70</v>
      </c>
    </row>
    <row r="61" spans="1:5" ht="30" customHeight="1" x14ac:dyDescent="0.2">
      <c r="A61" s="6">
        <f t="shared" si="2"/>
        <v>1036000</v>
      </c>
      <c r="B61" s="6">
        <v>112000</v>
      </c>
      <c r="C61" s="6"/>
      <c r="D61" s="6" t="s">
        <v>43</v>
      </c>
      <c r="E61" s="3" t="s">
        <v>71</v>
      </c>
    </row>
    <row r="62" spans="1:5" ht="30" customHeight="1" x14ac:dyDescent="0.2">
      <c r="A62" s="6">
        <f t="shared" si="2"/>
        <v>728000</v>
      </c>
      <c r="B62" s="6"/>
      <c r="C62" s="6">
        <v>308000</v>
      </c>
      <c r="D62" s="6" t="s">
        <v>73</v>
      </c>
      <c r="E62" s="3" t="s">
        <v>72</v>
      </c>
    </row>
    <row r="63" spans="1:5" ht="30" customHeight="1" x14ac:dyDescent="0.2">
      <c r="A63" s="6">
        <f t="shared" si="2"/>
        <v>868000</v>
      </c>
      <c r="B63" s="6">
        <v>140000</v>
      </c>
      <c r="C63" s="6"/>
      <c r="D63" s="6" t="s">
        <v>43</v>
      </c>
      <c r="E63" s="3"/>
    </row>
    <row r="64" spans="1:5" ht="30" customHeight="1" x14ac:dyDescent="0.2">
      <c r="A64" s="6">
        <f t="shared" si="2"/>
        <v>1085000</v>
      </c>
      <c r="B64" s="6">
        <v>217000</v>
      </c>
      <c r="C64" s="6"/>
      <c r="D64" s="6" t="s">
        <v>13</v>
      </c>
      <c r="E64" s="3" t="s">
        <v>74</v>
      </c>
    </row>
    <row r="65" spans="1:5" ht="30" customHeight="1" x14ac:dyDescent="0.2">
      <c r="A65" s="6">
        <f t="shared" si="2"/>
        <v>585000</v>
      </c>
      <c r="B65" s="6"/>
      <c r="C65" s="6">
        <v>500000</v>
      </c>
      <c r="D65" s="6" t="s">
        <v>76</v>
      </c>
      <c r="E65" s="3" t="s">
        <v>75</v>
      </c>
    </row>
    <row r="66" spans="1:5" ht="30" customHeight="1" x14ac:dyDescent="0.2">
      <c r="A66" s="6">
        <f t="shared" si="2"/>
        <v>697000</v>
      </c>
      <c r="B66" s="6">
        <v>112000</v>
      </c>
      <c r="C66" s="6"/>
      <c r="D66" s="6" t="s">
        <v>43</v>
      </c>
      <c r="E66" s="3" t="s">
        <v>77</v>
      </c>
    </row>
    <row r="67" spans="1:5" ht="30" customHeight="1" x14ac:dyDescent="0.2">
      <c r="A67" s="6">
        <f t="shared" si="2"/>
        <v>799000</v>
      </c>
      <c r="B67" s="6">
        <v>102000</v>
      </c>
      <c r="C67" s="6"/>
      <c r="D67" s="6" t="s">
        <v>43</v>
      </c>
      <c r="E67" s="3" t="s">
        <v>78</v>
      </c>
    </row>
    <row r="68" spans="1:5" ht="30" customHeight="1" x14ac:dyDescent="0.2">
      <c r="A68" s="6">
        <f t="shared" si="2"/>
        <v>884000</v>
      </c>
      <c r="B68" s="6">
        <v>85000</v>
      </c>
      <c r="C68" s="6"/>
      <c r="D68" s="6" t="s">
        <v>79</v>
      </c>
      <c r="E68" s="3"/>
    </row>
    <row r="69" spans="1:5" ht="30" customHeight="1" x14ac:dyDescent="0.2">
      <c r="A69" s="6">
        <f t="shared" si="2"/>
        <v>1030000</v>
      </c>
      <c r="B69" s="6">
        <v>146000</v>
      </c>
      <c r="C69" s="6"/>
      <c r="D69" s="6" t="s">
        <v>80</v>
      </c>
      <c r="E69" s="3"/>
    </row>
    <row r="70" spans="1:5" ht="30" customHeight="1" x14ac:dyDescent="0.2">
      <c r="A70" s="6">
        <f t="shared" si="2"/>
        <v>1192000</v>
      </c>
      <c r="B70" s="6">
        <v>162000</v>
      </c>
      <c r="C70" s="6"/>
      <c r="D70" s="6" t="s">
        <v>82</v>
      </c>
      <c r="E70" s="3" t="s">
        <v>81</v>
      </c>
    </row>
    <row r="71" spans="1:5" ht="30" customHeight="1" x14ac:dyDescent="0.2">
      <c r="A71" s="7"/>
      <c r="B71" s="7">
        <f>SUM(B52:B70)+B46</f>
        <v>5110000</v>
      </c>
      <c r="C71" s="7">
        <f>SUM(C52:C70)+C46</f>
        <v>3918000</v>
      </c>
      <c r="D71" s="7"/>
      <c r="E71" s="5"/>
    </row>
    <row r="72" spans="1:5" ht="30" customHeight="1" x14ac:dyDescent="0.2">
      <c r="A72" s="10">
        <f>A70</f>
        <v>1192000</v>
      </c>
      <c r="B72" s="10"/>
      <c r="C72" s="11" t="s">
        <v>6</v>
      </c>
      <c r="D72" s="11"/>
      <c r="E72" s="4"/>
    </row>
    <row r="73" spans="1:5" ht="30" customHeight="1" x14ac:dyDescent="0.2">
      <c r="A73" s="8"/>
      <c r="B73" s="8" t="s">
        <v>8</v>
      </c>
      <c r="C73" s="8"/>
      <c r="D73" s="8" t="s">
        <v>7</v>
      </c>
      <c r="E73" s="4"/>
    </row>
    <row r="74" spans="1:5" ht="30" customHeight="1" x14ac:dyDescent="0.2"/>
    <row r="75" spans="1:5" ht="30" customHeight="1" x14ac:dyDescent="0.25">
      <c r="A75" t="s">
        <v>9</v>
      </c>
      <c r="B75" s="1" t="s">
        <v>0</v>
      </c>
    </row>
    <row r="76" spans="1:5" ht="30" customHeight="1" x14ac:dyDescent="0.3">
      <c r="A76" s="2" t="s">
        <v>5</v>
      </c>
      <c r="B76" s="2" t="s">
        <v>3</v>
      </c>
      <c r="C76" s="2" t="s">
        <v>4</v>
      </c>
      <c r="D76" s="2" t="s">
        <v>2</v>
      </c>
      <c r="E76" s="2" t="s">
        <v>1</v>
      </c>
    </row>
    <row r="77" spans="1:5" ht="30" customHeight="1" x14ac:dyDescent="0.2">
      <c r="A77" s="6">
        <f>B77-C77+A72</f>
        <v>1354000</v>
      </c>
      <c r="B77" s="6">
        <v>162000</v>
      </c>
      <c r="C77" s="6"/>
      <c r="D77" s="6" t="s">
        <v>43</v>
      </c>
      <c r="E77" s="3" t="s">
        <v>83</v>
      </c>
    </row>
    <row r="78" spans="1:5" ht="30" customHeight="1" x14ac:dyDescent="0.2">
      <c r="A78" s="6">
        <f>A77+B78-C78</f>
        <v>1894000</v>
      </c>
      <c r="B78" s="6">
        <v>540000</v>
      </c>
      <c r="C78" s="6"/>
      <c r="D78" s="6" t="s">
        <v>16</v>
      </c>
      <c r="E78" s="3" t="s">
        <v>84</v>
      </c>
    </row>
    <row r="79" spans="1:5" ht="30" customHeight="1" x14ac:dyDescent="0.2">
      <c r="A79" s="6">
        <f t="shared" ref="A79:A95" si="3">A78+B79-C79</f>
        <v>2153000</v>
      </c>
      <c r="B79" s="6">
        <v>259000</v>
      </c>
      <c r="C79" s="6"/>
      <c r="D79" s="6" t="s">
        <v>86</v>
      </c>
      <c r="E79" s="3" t="s">
        <v>85</v>
      </c>
    </row>
    <row r="80" spans="1:5" ht="30" customHeight="1" x14ac:dyDescent="0.2">
      <c r="A80" s="6">
        <f t="shared" si="3"/>
        <v>2315000</v>
      </c>
      <c r="B80" s="6">
        <v>162000</v>
      </c>
      <c r="C80" s="6"/>
      <c r="D80" s="6" t="s">
        <v>43</v>
      </c>
      <c r="E80" s="3" t="s">
        <v>87</v>
      </c>
    </row>
    <row r="81" spans="1:5" ht="30" customHeight="1" x14ac:dyDescent="0.2">
      <c r="A81" s="6">
        <f t="shared" si="3"/>
        <v>2386000</v>
      </c>
      <c r="B81" s="6">
        <v>71000</v>
      </c>
      <c r="C81" s="6"/>
      <c r="D81" s="6" t="s">
        <v>89</v>
      </c>
      <c r="E81" s="3" t="s">
        <v>88</v>
      </c>
    </row>
    <row r="82" spans="1:5" ht="30" customHeight="1" x14ac:dyDescent="0.2">
      <c r="A82" s="6">
        <f t="shared" si="3"/>
        <v>2575000</v>
      </c>
      <c r="B82" s="6">
        <v>189000</v>
      </c>
      <c r="C82" s="6"/>
      <c r="D82" s="6" t="s">
        <v>43</v>
      </c>
      <c r="E82" s="3" t="s">
        <v>90</v>
      </c>
    </row>
    <row r="83" spans="1:5" ht="30" customHeight="1" x14ac:dyDescent="0.2">
      <c r="A83" s="6">
        <f t="shared" si="3"/>
        <v>2575000</v>
      </c>
      <c r="B83" s="6"/>
      <c r="C83" s="6"/>
      <c r="D83" s="6"/>
      <c r="E83" s="3"/>
    </row>
    <row r="84" spans="1:5" ht="30" customHeight="1" x14ac:dyDescent="0.2">
      <c r="A84" s="6">
        <f t="shared" si="3"/>
        <v>2575000</v>
      </c>
      <c r="B84" s="6"/>
      <c r="C84" s="6"/>
      <c r="D84" s="6"/>
      <c r="E84" s="3"/>
    </row>
    <row r="85" spans="1:5" ht="30" customHeight="1" x14ac:dyDescent="0.2">
      <c r="A85" s="6">
        <f t="shared" si="3"/>
        <v>2575000</v>
      </c>
      <c r="B85" s="6"/>
      <c r="C85" s="6"/>
      <c r="D85" s="6"/>
      <c r="E85" s="3"/>
    </row>
    <row r="86" spans="1:5" ht="30" customHeight="1" x14ac:dyDescent="0.2">
      <c r="A86" s="6">
        <f t="shared" si="3"/>
        <v>2575000</v>
      </c>
      <c r="B86" s="6"/>
      <c r="C86" s="6"/>
      <c r="D86" s="6"/>
      <c r="E86" s="3"/>
    </row>
    <row r="87" spans="1:5" ht="30" customHeight="1" x14ac:dyDescent="0.2">
      <c r="A87" s="6">
        <f t="shared" si="3"/>
        <v>2575000</v>
      </c>
      <c r="B87" s="6"/>
      <c r="C87" s="6"/>
      <c r="D87" s="6"/>
      <c r="E87" s="3"/>
    </row>
    <row r="88" spans="1:5" ht="30" customHeight="1" x14ac:dyDescent="0.2">
      <c r="A88" s="6">
        <f t="shared" si="3"/>
        <v>2575000</v>
      </c>
      <c r="B88" s="6"/>
      <c r="C88" s="6"/>
      <c r="D88" s="6"/>
      <c r="E88" s="3"/>
    </row>
    <row r="89" spans="1:5" ht="30" customHeight="1" x14ac:dyDescent="0.2">
      <c r="A89" s="6">
        <f t="shared" si="3"/>
        <v>2575000</v>
      </c>
      <c r="B89" s="6"/>
      <c r="C89" s="6"/>
      <c r="D89" s="6"/>
      <c r="E89" s="3"/>
    </row>
    <row r="90" spans="1:5" ht="30" customHeight="1" x14ac:dyDescent="0.2">
      <c r="A90" s="6">
        <f t="shared" si="3"/>
        <v>2575000</v>
      </c>
      <c r="B90" s="6"/>
      <c r="C90" s="6"/>
      <c r="D90" s="6"/>
      <c r="E90" s="3"/>
    </row>
    <row r="91" spans="1:5" ht="30" customHeight="1" x14ac:dyDescent="0.2">
      <c r="A91" s="6">
        <f t="shared" si="3"/>
        <v>2575000</v>
      </c>
      <c r="B91" s="6"/>
      <c r="C91" s="6"/>
      <c r="D91" s="6"/>
      <c r="E91" s="3"/>
    </row>
    <row r="92" spans="1:5" ht="30" customHeight="1" x14ac:dyDescent="0.2">
      <c r="A92" s="6">
        <f t="shared" si="3"/>
        <v>2575000</v>
      </c>
      <c r="B92" s="6"/>
      <c r="C92" s="6"/>
      <c r="D92" s="6"/>
      <c r="E92" s="3"/>
    </row>
    <row r="93" spans="1:5" ht="30" customHeight="1" x14ac:dyDescent="0.2">
      <c r="A93" s="6">
        <f t="shared" si="3"/>
        <v>2575000</v>
      </c>
      <c r="B93" s="6"/>
      <c r="C93" s="6"/>
      <c r="D93" s="6"/>
      <c r="E93" s="3"/>
    </row>
    <row r="94" spans="1:5" ht="30" customHeight="1" x14ac:dyDescent="0.2">
      <c r="A94" s="6">
        <f t="shared" si="3"/>
        <v>2575000</v>
      </c>
      <c r="B94" s="6"/>
      <c r="C94" s="6"/>
      <c r="D94" s="6"/>
      <c r="E94" s="3"/>
    </row>
    <row r="95" spans="1:5" ht="30" customHeight="1" x14ac:dyDescent="0.2">
      <c r="A95" s="6">
        <f t="shared" si="3"/>
        <v>2575000</v>
      </c>
      <c r="B95" s="6"/>
      <c r="C95" s="6"/>
      <c r="D95" s="6"/>
      <c r="E95" s="3"/>
    </row>
    <row r="96" spans="1:5" ht="30" customHeight="1" x14ac:dyDescent="0.2">
      <c r="A96" s="7"/>
      <c r="B96" s="7">
        <f>SUM(B77:B95)+B71</f>
        <v>6493000</v>
      </c>
      <c r="C96" s="7">
        <f>SUM(C77:C95)+C71</f>
        <v>3918000</v>
      </c>
      <c r="D96" s="7"/>
      <c r="E96" s="5"/>
    </row>
    <row r="97" spans="1:5" ht="30" customHeight="1" x14ac:dyDescent="0.2">
      <c r="A97" s="10">
        <f>A95</f>
        <v>2575000</v>
      </c>
      <c r="B97" s="10"/>
      <c r="C97" s="11" t="s">
        <v>6</v>
      </c>
      <c r="D97" s="11"/>
      <c r="E97" s="4"/>
    </row>
    <row r="98" spans="1:5" ht="30" customHeight="1" x14ac:dyDescent="0.2">
      <c r="A98" s="8"/>
      <c r="B98" s="8" t="s">
        <v>8</v>
      </c>
      <c r="C98" s="8"/>
      <c r="D98" s="8" t="s">
        <v>7</v>
      </c>
      <c r="E98" s="4"/>
    </row>
    <row r="99" spans="1:5" ht="30" customHeight="1" x14ac:dyDescent="0.2"/>
    <row r="100" spans="1:5" ht="30" customHeight="1" x14ac:dyDescent="0.2"/>
    <row r="101" spans="1:5" ht="30" customHeight="1" x14ac:dyDescent="0.2"/>
    <row r="102" spans="1:5" ht="30" customHeight="1" x14ac:dyDescent="0.2"/>
    <row r="103" spans="1:5" ht="30" customHeight="1" x14ac:dyDescent="0.2"/>
    <row r="104" spans="1:5" ht="30" customHeight="1" x14ac:dyDescent="0.2"/>
    <row r="105" spans="1:5" ht="30" customHeight="1" x14ac:dyDescent="0.2"/>
    <row r="106" spans="1:5" ht="30" customHeight="1" x14ac:dyDescent="0.2"/>
    <row r="107" spans="1:5" ht="30" customHeight="1" x14ac:dyDescent="0.2"/>
    <row r="108" spans="1:5" ht="30" customHeight="1" x14ac:dyDescent="0.2"/>
    <row r="109" spans="1:5" ht="30" customHeight="1" x14ac:dyDescent="0.2"/>
    <row r="110" spans="1:5" ht="30" customHeight="1" x14ac:dyDescent="0.2"/>
    <row r="111" spans="1:5" ht="30" customHeight="1" x14ac:dyDescent="0.2"/>
    <row r="112" spans="1:5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</sheetData>
  <mergeCells count="8">
    <mergeCell ref="A97:B97"/>
    <mergeCell ref="C97:D97"/>
    <mergeCell ref="C23:D23"/>
    <mergeCell ref="A23:B23"/>
    <mergeCell ref="A47:B47"/>
    <mergeCell ref="C47:D47"/>
    <mergeCell ref="A72:B72"/>
    <mergeCell ref="C72:D72"/>
  </mergeCells>
  <conditionalFormatting sqref="A23:B23">
    <cfRule type="cellIs" dxfId="7" priority="8" operator="lessThanOrEqual">
      <formula>0</formula>
    </cfRule>
    <cfRule type="cellIs" dxfId="6" priority="7" operator="greaterThan">
      <formula>0</formula>
    </cfRule>
  </conditionalFormatting>
  <conditionalFormatting sqref="A47:B47">
    <cfRule type="cellIs" dxfId="5" priority="5" operator="greaterThan">
      <formula>0</formula>
    </cfRule>
    <cfRule type="cellIs" dxfId="4" priority="6" operator="lessThanOrEqual">
      <formula>0</formula>
    </cfRule>
  </conditionalFormatting>
  <conditionalFormatting sqref="A72:B72">
    <cfRule type="cellIs" dxfId="3" priority="3" operator="greaterThan">
      <formula>0</formula>
    </cfRule>
    <cfRule type="cellIs" dxfId="2" priority="4" operator="lessThanOrEqual">
      <formula>0</formula>
    </cfRule>
  </conditionalFormatting>
  <conditionalFormatting sqref="A97:B97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2026-08-24T16:11:32Z</dcterms:modified>
</cp:coreProperties>
</file>