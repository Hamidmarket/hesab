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9" i="1" l="1"/>
  <c r="C259" i="1"/>
  <c r="B259" i="1"/>
  <c r="A240" i="1"/>
  <c r="A241" i="1" s="1"/>
  <c r="A242" i="1" s="1"/>
  <c r="A243" i="1" s="1"/>
  <c r="A244" i="1" l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B261" i="1" s="1"/>
  <c r="H2" i="1" s="1"/>
  <c r="C232" i="1"/>
  <c r="B232" i="1"/>
  <c r="A212" i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B234" i="1" s="1"/>
  <c r="C206" i="1" l="1"/>
  <c r="B206" i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B208" i="1" s="1"/>
  <c r="A186" i="1"/>
  <c r="B154" i="1" l="1"/>
  <c r="B180" i="1" s="1"/>
  <c r="C180" i="1" l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B182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27" i="1" l="1"/>
  <c r="B127" i="1"/>
  <c r="C154" i="1"/>
  <c r="B74" i="1" l="1"/>
  <c r="B100" i="1"/>
  <c r="C74" i="1" l="1"/>
  <c r="C100" i="1" l="1"/>
  <c r="B50" i="1"/>
  <c r="B49" i="1"/>
  <c r="C54" i="1" l="1"/>
  <c r="B54" i="1"/>
  <c r="B35" i="1" l="1"/>
  <c r="C35" i="1"/>
  <c r="B16" i="1" l="1"/>
  <c r="C16" i="1" l="1"/>
  <c r="C17" i="1" l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C36" i="1" s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C55" i="1" s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C75" i="1" s="1"/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B102" i="1" s="1"/>
  <c r="A107" i="1" l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B129" i="1" s="1"/>
  <c r="A134" i="1" l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B156" i="1" s="1"/>
</calcChain>
</file>

<file path=xl/sharedStrings.xml><?xml version="1.0" encoding="utf-8"?>
<sst xmlns="http://schemas.openxmlformats.org/spreadsheetml/2006/main" count="475" uniqueCount="285">
  <si>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</si>
  <si>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</si>
  <si>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</si>
  <si>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</si>
  <si>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</si>
  <si>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</si>
  <si>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</si>
  <si>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</si>
  <si>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</si>
  <si>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</si>
  <si>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حسین رحمتی</t>
  </si>
  <si>
    <t xml:space="preserve">الباقی مزه </t>
  </si>
  <si>
    <t>دنگ پل دو اب</t>
  </si>
  <si>
    <t>پچ پچ</t>
  </si>
  <si>
    <t xml:space="preserve">کیک </t>
  </si>
  <si>
    <t xml:space="preserve">ابمیوه </t>
  </si>
  <si>
    <t xml:space="preserve">مغز بادام </t>
  </si>
  <si>
    <t>الباقی چی پلت</t>
  </si>
  <si>
    <t>وجه</t>
  </si>
  <si>
    <t xml:space="preserve">بدهی نرم افزار هلو </t>
  </si>
  <si>
    <t>وجه چی پلت</t>
  </si>
  <si>
    <t>1404/01/28</t>
  </si>
  <si>
    <t>دنگ جیگر</t>
  </si>
  <si>
    <t>1404/01/29</t>
  </si>
  <si>
    <t>1404/02/01</t>
  </si>
  <si>
    <t>سیگار سوسیس سس</t>
  </si>
  <si>
    <t>1404/02/06</t>
  </si>
  <si>
    <t>دنگ سیگار بنشتنه فوتبالی</t>
  </si>
  <si>
    <t>1404/02/07</t>
  </si>
  <si>
    <t>سیگار</t>
  </si>
  <si>
    <t>1404/02/10</t>
  </si>
  <si>
    <t>کیک شیر</t>
  </si>
  <si>
    <t>1404/02/12</t>
  </si>
  <si>
    <t>دنگ سوسیس تخم مرغ پل دواب</t>
  </si>
  <si>
    <t>1404/02/16</t>
  </si>
  <si>
    <t>چیپس</t>
  </si>
  <si>
    <t>1404/02/17</t>
  </si>
  <si>
    <t>بستنی</t>
  </si>
  <si>
    <t xml:space="preserve">شیرین عسل ویفر </t>
  </si>
  <si>
    <t>لیموناد کیک</t>
  </si>
  <si>
    <t>1404/02/18</t>
  </si>
  <si>
    <t>معجون</t>
  </si>
  <si>
    <t>1404/02/19</t>
  </si>
  <si>
    <t>دنگ پل دواب</t>
  </si>
  <si>
    <t>1404/02/22</t>
  </si>
  <si>
    <t xml:space="preserve"> چاپ چیپس دنگ جیگر</t>
  </si>
  <si>
    <t>1404/03/06</t>
  </si>
  <si>
    <t xml:space="preserve">بستنی قیفی </t>
  </si>
  <si>
    <t>1404/03/13</t>
  </si>
  <si>
    <t>1404/03/14</t>
  </si>
  <si>
    <t>مگنوم نانی چی پلت</t>
  </si>
  <si>
    <t>1404/03/18</t>
  </si>
  <si>
    <t>بستنی سوسیس چیپلت</t>
  </si>
  <si>
    <t>دنگ بستنی شرک</t>
  </si>
  <si>
    <t>1404/03/23</t>
  </si>
  <si>
    <t>کیک چیپس</t>
  </si>
  <si>
    <t>دنگ باغ بنیامین</t>
  </si>
  <si>
    <t>1404/03/25</t>
  </si>
  <si>
    <t>لیموناد دو عدد کیک</t>
  </si>
  <si>
    <t>اب معدنی های بای کیک</t>
  </si>
  <si>
    <t>1404/03/31</t>
  </si>
  <si>
    <t>1404/04/01</t>
  </si>
  <si>
    <t>اسنک</t>
  </si>
  <si>
    <t>1404/04/06</t>
  </si>
  <si>
    <t xml:space="preserve">های بای </t>
  </si>
  <si>
    <t>1404/04/07</t>
  </si>
  <si>
    <t xml:space="preserve">کیک ابمیوه </t>
  </si>
  <si>
    <t>1404/04/11</t>
  </si>
  <si>
    <t>لیموناد چیپلت</t>
  </si>
  <si>
    <t>1404/04/20</t>
  </si>
  <si>
    <t xml:space="preserve">وجه </t>
  </si>
  <si>
    <t>نوشابه بستنی ماست</t>
  </si>
  <si>
    <t>1404/04/18</t>
  </si>
  <si>
    <t>دنگ مزه باغ ممدجواد</t>
  </si>
  <si>
    <t>1404/04/21</t>
  </si>
  <si>
    <t>1404/04/24</t>
  </si>
  <si>
    <t>بستنی کیک</t>
  </si>
  <si>
    <t>سوسیس سس</t>
  </si>
  <si>
    <t>1404/05/03</t>
  </si>
  <si>
    <t>کیک لیموتاد</t>
  </si>
  <si>
    <t>1404/05/04</t>
  </si>
  <si>
    <t>1404/05/05</t>
  </si>
  <si>
    <t>دنگ سیگار</t>
  </si>
  <si>
    <t>بدهی کل با احتساب آخرین فاکتور :</t>
  </si>
  <si>
    <t>1404/05/09</t>
  </si>
  <si>
    <t>با تشکر از خرید شما</t>
  </si>
  <si>
    <t>مواد غذایی رحمتی</t>
  </si>
  <si>
    <t>1404/05/11</t>
  </si>
  <si>
    <t>وجه دنپ جیگر</t>
  </si>
  <si>
    <t>1404/05/12</t>
  </si>
  <si>
    <t>بستنی چیپس</t>
  </si>
  <si>
    <t>دنگ سیگار باغ بنیامین</t>
  </si>
  <si>
    <t>1405/05/14</t>
  </si>
  <si>
    <t xml:space="preserve">دنگ سیگار </t>
  </si>
  <si>
    <t>1404/05/14</t>
  </si>
  <si>
    <t>1404/05/18</t>
  </si>
  <si>
    <t>سیکال</t>
  </si>
  <si>
    <t>1404/05/20</t>
  </si>
  <si>
    <t>1404/05/21</t>
  </si>
  <si>
    <t>تاینی</t>
  </si>
  <si>
    <t>سوسیس بادام زمینی</t>
  </si>
  <si>
    <t>1404/05/22</t>
  </si>
  <si>
    <t>شیر کاکائو کیک</t>
  </si>
  <si>
    <t>1404/05/23</t>
  </si>
  <si>
    <t>کیک تاینی</t>
  </si>
  <si>
    <t>1404/05/25</t>
  </si>
  <si>
    <t>1404/05/27</t>
  </si>
  <si>
    <t xml:space="preserve">بستنی چیپس </t>
  </si>
  <si>
    <t>1404/05/29</t>
  </si>
  <si>
    <t>چیپس ماست کیک</t>
  </si>
  <si>
    <t>1404/05/31</t>
  </si>
  <si>
    <t>یخمک</t>
  </si>
  <si>
    <t>سالار</t>
  </si>
  <si>
    <t>1404/05/28</t>
  </si>
  <si>
    <t>دنگ عرق خونه حاج غلی</t>
  </si>
  <si>
    <t>1404/06/01</t>
  </si>
  <si>
    <t>دنگ آبجو</t>
  </si>
  <si>
    <t>1404/06/08</t>
  </si>
  <si>
    <t>کاکائو</t>
  </si>
  <si>
    <t>1404/06/15</t>
  </si>
  <si>
    <t>1404/06/17</t>
  </si>
  <si>
    <t>مگنوم ماست</t>
  </si>
  <si>
    <t>1404/06/28</t>
  </si>
  <si>
    <t>دنگ مزه</t>
  </si>
  <si>
    <t>1404/06/30</t>
  </si>
  <si>
    <t>دنگ نیم متری</t>
  </si>
  <si>
    <t>1404/06/31</t>
  </si>
  <si>
    <t xml:space="preserve">بستنی </t>
  </si>
  <si>
    <t>1404/07/02</t>
  </si>
  <si>
    <t xml:space="preserve">دنگ مزه </t>
  </si>
  <si>
    <t>1404/07/04</t>
  </si>
  <si>
    <t>کیک</t>
  </si>
  <si>
    <t>1404/07/07</t>
  </si>
  <si>
    <t>نوشابه</t>
  </si>
  <si>
    <t>1404/07/11</t>
  </si>
  <si>
    <t>بستنی سالار</t>
  </si>
  <si>
    <t>1404/07/12</t>
  </si>
  <si>
    <t>دنگ عمو میلاد</t>
  </si>
  <si>
    <t>1404/07/16</t>
  </si>
  <si>
    <t>1404/07/17</t>
  </si>
  <si>
    <t>پول نقد</t>
  </si>
  <si>
    <t>1404/07/28</t>
  </si>
  <si>
    <t>1404/08/01</t>
  </si>
  <si>
    <t>دنگ عرق خونه حاج علی</t>
  </si>
  <si>
    <t>1404/08/02</t>
  </si>
  <si>
    <t>سیگار پچ پچ آبمیوه</t>
  </si>
  <si>
    <t>1404/08/13</t>
  </si>
  <si>
    <t>سیگار شارژ</t>
  </si>
  <si>
    <t>1404/08/16</t>
  </si>
  <si>
    <t>سیگار تو دی آبمیوه</t>
  </si>
  <si>
    <t>1404/08/17</t>
  </si>
  <si>
    <t>وجه کابل</t>
  </si>
  <si>
    <t>1404/09/05</t>
  </si>
  <si>
    <t xml:space="preserve">وجه   </t>
  </si>
  <si>
    <t>1404/09/13</t>
  </si>
  <si>
    <t>تودی لیموناد</t>
  </si>
  <si>
    <t>1404/09/17</t>
  </si>
  <si>
    <t>مغز بادام</t>
  </si>
  <si>
    <t>1404/09/19</t>
  </si>
  <si>
    <t>1404/09/21</t>
  </si>
  <si>
    <t>دنگ دوگن</t>
  </si>
  <si>
    <t>پیتزا سارا</t>
  </si>
  <si>
    <t>1404/09/27</t>
  </si>
  <si>
    <t>دنگ تنباکو ذغال</t>
  </si>
  <si>
    <t>1404/01/30</t>
  </si>
  <si>
    <t>دنگ همبرگر</t>
  </si>
  <si>
    <t>1404/10/04</t>
  </si>
  <si>
    <t>1404/10/09</t>
  </si>
  <si>
    <t>دنگ سوسیس تخم مرغ یاسین</t>
  </si>
  <si>
    <t xml:space="preserve">دنگ تنباکو ذغال </t>
  </si>
  <si>
    <t>1404/10/13</t>
  </si>
  <si>
    <t>دنگ پیتزا</t>
  </si>
  <si>
    <t>1404/10/14</t>
  </si>
  <si>
    <t>1404/10/18</t>
  </si>
  <si>
    <t>کوپا</t>
  </si>
  <si>
    <t>1404/11/16</t>
  </si>
  <si>
    <t>دنگ گول بازی</t>
  </si>
  <si>
    <t>1404/11/.16</t>
  </si>
  <si>
    <t>دنگ پاسور</t>
  </si>
  <si>
    <t>1404/11/18</t>
  </si>
  <si>
    <t>سیگار قهوه</t>
  </si>
  <si>
    <t>1404/11/20</t>
  </si>
  <si>
    <t>قهوه پفک</t>
  </si>
  <si>
    <t>1404/12/01</t>
  </si>
  <si>
    <t>دنگ سیگار سوسیس</t>
  </si>
  <si>
    <t>1404/12/03</t>
  </si>
  <si>
    <t>دنگ عرق</t>
  </si>
  <si>
    <t>1404/12/07</t>
  </si>
  <si>
    <t>گول بازی</t>
  </si>
  <si>
    <t>1404/12/08</t>
  </si>
  <si>
    <t>دنگ ساندویچ وجه نون</t>
  </si>
  <si>
    <t>1404/12/15</t>
  </si>
  <si>
    <t>1404/12/22</t>
  </si>
  <si>
    <t xml:space="preserve">دنگ ساندویچ    </t>
  </si>
  <si>
    <t>1404/12/25</t>
  </si>
  <si>
    <t>1404/12/27</t>
  </si>
  <si>
    <t>جعفر پیسه</t>
  </si>
  <si>
    <t>140/5/01/02</t>
  </si>
  <si>
    <t>1405/01/03</t>
  </si>
  <si>
    <t>دنگ عرق داداش</t>
  </si>
  <si>
    <t>ساندویچ خونه حاج علی</t>
  </si>
  <si>
    <t>1405/01/08</t>
  </si>
  <si>
    <t>وجه عرقداداشش</t>
  </si>
  <si>
    <t>1405/01/12</t>
  </si>
  <si>
    <t>دنگ ساندویچ</t>
  </si>
  <si>
    <t>1405/01/14</t>
  </si>
  <si>
    <t>1405/01/23</t>
  </si>
  <si>
    <t>وجه گول</t>
  </si>
  <si>
    <t>1405/01/29</t>
  </si>
  <si>
    <t>1405/02/06</t>
  </si>
  <si>
    <t xml:space="preserve">وجه چالش </t>
  </si>
  <si>
    <t>1405/002/06</t>
  </si>
  <si>
    <t>1405/02/07</t>
  </si>
  <si>
    <t>دنگ باغ دامو</t>
  </si>
  <si>
    <t>1405/02/15</t>
  </si>
  <si>
    <t xml:space="preserve">دنگ تهران </t>
  </si>
  <si>
    <t>1405/02/21</t>
  </si>
  <si>
    <t>دنگ استخر</t>
  </si>
  <si>
    <t>1405/02/22</t>
  </si>
  <si>
    <t>1405/03/07</t>
  </si>
  <si>
    <t>ابمیوه کیک</t>
  </si>
  <si>
    <t>1405/03/11</t>
  </si>
  <si>
    <t>قهوه رنگارنگ</t>
  </si>
  <si>
    <t>ابمیوه پول</t>
  </si>
  <si>
    <t>1405/03/10</t>
  </si>
  <si>
    <t>1405/03/16</t>
  </si>
  <si>
    <t>1405/03/22</t>
  </si>
  <si>
    <t>ابمیوه</t>
  </si>
  <si>
    <t>1405/03/27</t>
  </si>
  <si>
    <t>1405/03/30</t>
  </si>
  <si>
    <t>1405/04/02</t>
  </si>
  <si>
    <t>1405/04/04</t>
  </si>
  <si>
    <t>1405/04/05</t>
  </si>
  <si>
    <t>جمع کل حساب با احتساب آخرین فاکتور :</t>
  </si>
  <si>
    <t>1405/04/10</t>
  </si>
  <si>
    <t>وجه تکیه گول</t>
  </si>
  <si>
    <t>1405/04/13</t>
  </si>
  <si>
    <t>دنگ بوته</t>
  </si>
  <si>
    <t>1405/04/14</t>
  </si>
  <si>
    <t>مزه</t>
  </si>
  <si>
    <t>1405/04/15</t>
  </si>
  <si>
    <t>وجه گول کالابرگ</t>
  </si>
  <si>
    <t>1405/04/17</t>
  </si>
  <si>
    <t>1405/04/18</t>
  </si>
  <si>
    <t>بستنی هنونه ای</t>
  </si>
  <si>
    <t>1405/04/19</t>
  </si>
  <si>
    <t>کیک رضا</t>
  </si>
  <si>
    <t>ساندویچ باغ ممد جواد</t>
  </si>
  <si>
    <t>1405/04/22</t>
  </si>
  <si>
    <t>خودکار</t>
  </si>
  <si>
    <t>1405/04/24</t>
  </si>
  <si>
    <t>1405/04/26</t>
  </si>
  <si>
    <t xml:space="preserve">الباقی قهوه </t>
  </si>
  <si>
    <t>1405/04/27</t>
  </si>
  <si>
    <t>1405/04/29</t>
  </si>
  <si>
    <t xml:space="preserve">وچه </t>
  </si>
  <si>
    <t>1405/05/01</t>
  </si>
  <si>
    <t>1405/05/09</t>
  </si>
  <si>
    <t>1405/05/11</t>
  </si>
  <si>
    <t>تاینی های بای</t>
  </si>
  <si>
    <t>1405/05/13</t>
  </si>
  <si>
    <t>گول بازی مزه باغ دامو</t>
  </si>
  <si>
    <t>1405/05/23</t>
  </si>
  <si>
    <t>1405/05/26</t>
  </si>
  <si>
    <t>1405/06/01</t>
  </si>
  <si>
    <t>1405/06/02</t>
  </si>
  <si>
    <t>1405/06/07</t>
  </si>
  <si>
    <t>دنگ سوسیس خونه یاسین</t>
  </si>
  <si>
    <t>1405/06/09</t>
  </si>
  <si>
    <t>مزه پل دوآب</t>
  </si>
  <si>
    <t>1405/06/13</t>
  </si>
  <si>
    <t>دنگ باغ ممدجواد</t>
  </si>
  <si>
    <t>1405/06/16</t>
  </si>
  <si>
    <t>های بای کیک</t>
  </si>
  <si>
    <t>1405/06/18</t>
  </si>
  <si>
    <t>1405/06/22</t>
  </si>
  <si>
    <t>دنگ سس</t>
  </si>
  <si>
    <t>1405/07/04</t>
  </si>
  <si>
    <t>1405/07/06</t>
  </si>
  <si>
    <t>1405/07/09</t>
  </si>
  <si>
    <t>وجه برگشتی سیگار</t>
  </si>
  <si>
    <t>1405/07/10</t>
  </si>
  <si>
    <t>1405/07/17</t>
  </si>
  <si>
    <t>1405/07/18</t>
  </si>
  <si>
    <t>1405/07/22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</si>
</sst>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0" fillId="0" borderId="1" xfId="0" applyNumberFormat="1" applyFont="1" applyBorder="1"/>
    <xf numFmtId="0" fontId="0" fillId="0" borderId="1" xfId="0" applyFont="1" applyBorder="1"/>
    <xf numFmtId="3" fontId="2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"/>
  <sheetViews>
    <sheetView tabSelected="1" topLeftCell="A250" zoomScaleNormal="100" workbookViewId="0">
      <selection activeCell="B259" sqref="B259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3.75" customWidth="1"/>
    <col min="6" max="6" width="18.12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B261</f>
        <v>7266000</v>
      </c>
    </row>
    <row r="3" spans="1:8" ht="42.75" customHeight="1" x14ac:dyDescent="0.2">
      <c r="A3" s="1">
        <f xml:space="preserve"> B3-C3</f>
        <v>70000</v>
      </c>
      <c r="B3" s="1">
        <v>70000</v>
      </c>
      <c r="C3" s="1"/>
      <c r="D3" s="1" t="s">
        <v>11</v>
      </c>
      <c r="E3" s="1"/>
    </row>
    <row r="4" spans="1:8" ht="43.5" customHeight="1" x14ac:dyDescent="0.2">
      <c r="A4" s="1">
        <f xml:space="preserve"> A3 + B4-C4</f>
        <v>215000</v>
      </c>
      <c r="B4" s="1">
        <v>145000</v>
      </c>
      <c r="C4" s="1"/>
      <c r="D4" s="1" t="s">
        <v>12</v>
      </c>
      <c r="E4" s="1"/>
    </row>
    <row r="5" spans="1:8" ht="43.5" customHeight="1" x14ac:dyDescent="0.2">
      <c r="A5" s="1">
        <f t="shared" ref="A5:A15" si="0" xml:space="preserve"> A4 + B5-C5</f>
        <v>233000</v>
      </c>
      <c r="B5" s="1">
        <v>18000</v>
      </c>
      <c r="C5" s="1"/>
      <c r="D5" s="1" t="s">
        <v>13</v>
      </c>
      <c r="E5" s="1"/>
    </row>
    <row r="6" spans="1:8" ht="42.75" customHeight="1" x14ac:dyDescent="0.2">
      <c r="A6" s="1">
        <f t="shared" si="0"/>
        <v>248000</v>
      </c>
      <c r="B6" s="1">
        <v>15000</v>
      </c>
      <c r="C6" s="1"/>
      <c r="D6" s="1" t="s">
        <v>14</v>
      </c>
      <c r="E6" s="1"/>
    </row>
    <row r="7" spans="1:8" ht="43.5" customHeight="1" x14ac:dyDescent="0.2">
      <c r="A7" s="1">
        <f t="shared" si="0"/>
        <v>270000</v>
      </c>
      <c r="B7" s="1">
        <v>22000</v>
      </c>
      <c r="C7" s="1"/>
      <c r="D7" s="1" t="s">
        <v>15</v>
      </c>
      <c r="E7" s="1"/>
    </row>
    <row r="8" spans="1:8" ht="42.75" customHeight="1" x14ac:dyDescent="0.2">
      <c r="A8" s="1">
        <f t="shared" si="0"/>
        <v>290000</v>
      </c>
      <c r="B8" s="1">
        <v>20000</v>
      </c>
      <c r="C8" s="1"/>
      <c r="D8" s="1" t="s">
        <v>16</v>
      </c>
      <c r="E8" s="1"/>
    </row>
    <row r="9" spans="1:8" ht="43.5" customHeight="1" x14ac:dyDescent="0.2">
      <c r="A9" s="1">
        <f t="shared" si="0"/>
        <v>312000</v>
      </c>
      <c r="B9" s="1">
        <v>22000</v>
      </c>
      <c r="C9" s="1"/>
      <c r="D9" s="1" t="s">
        <v>17</v>
      </c>
      <c r="E9" s="1"/>
    </row>
    <row r="10" spans="1:8" ht="43.5" customHeight="1" x14ac:dyDescent="0.2">
      <c r="A10" s="1">
        <f t="shared" si="0"/>
        <v>212000</v>
      </c>
      <c r="B10" s="1"/>
      <c r="C10" s="1">
        <v>100000</v>
      </c>
      <c r="D10" s="1" t="s">
        <v>18</v>
      </c>
      <c r="E10" s="1"/>
    </row>
    <row r="11" spans="1:8" ht="42.75" customHeight="1" x14ac:dyDescent="0.2">
      <c r="A11" s="1">
        <f t="shared" si="0"/>
        <v>402000</v>
      </c>
      <c r="B11" s="1">
        <v>190000</v>
      </c>
      <c r="C11" s="1"/>
      <c r="D11" s="1" t="s">
        <v>19</v>
      </c>
      <c r="E11" s="1"/>
    </row>
    <row r="12" spans="1:8" ht="42" customHeight="1" x14ac:dyDescent="0.2">
      <c r="A12" s="1">
        <f t="shared" si="0"/>
        <v>427000</v>
      </c>
      <c r="B12" s="1">
        <v>25000</v>
      </c>
      <c r="C12" s="1"/>
      <c r="D12" s="1" t="s">
        <v>20</v>
      </c>
      <c r="E12" s="1"/>
    </row>
    <row r="13" spans="1:8" ht="43.5" customHeight="1" x14ac:dyDescent="0.2">
      <c r="A13" s="1">
        <f t="shared" si="0"/>
        <v>647000</v>
      </c>
      <c r="B13" s="1">
        <v>220000</v>
      </c>
      <c r="C13" s="1"/>
      <c r="D13" s="1" t="s">
        <v>22</v>
      </c>
      <c r="E13" s="1" t="s">
        <v>21</v>
      </c>
    </row>
    <row r="14" spans="1:8" ht="42" customHeight="1" x14ac:dyDescent="0.2">
      <c r="A14" s="1">
        <f t="shared" si="0"/>
        <v>705000</v>
      </c>
      <c r="B14" s="1">
        <v>58000</v>
      </c>
      <c r="C14" s="1"/>
      <c r="D14" s="1" t="s">
        <v>12</v>
      </c>
      <c r="E14" s="1" t="s">
        <v>23</v>
      </c>
    </row>
    <row r="15" spans="1:8" ht="42.75" customHeight="1" x14ac:dyDescent="0.2">
      <c r="A15" s="1">
        <f t="shared" si="0"/>
        <v>751000</v>
      </c>
      <c r="B15" s="1">
        <v>46000</v>
      </c>
      <c r="C15" s="1"/>
      <c r="D15" s="1" t="s">
        <v>25</v>
      </c>
      <c r="E15" s="1" t="s">
        <v>24</v>
      </c>
    </row>
    <row r="16" spans="1:8" ht="15" customHeight="1" x14ac:dyDescent="0.2">
      <c r="B16">
        <f xml:space="preserve"> B3 + B4 + B5 + B6 + B7 + B8 + B9 +B10 + B11 + B12 + B13 + B14 + B15</f>
        <v>851000</v>
      </c>
      <c r="C16">
        <f xml:space="preserve"> C3 + C4 + C5 + C6 + C7 + C8 + C9 + C10 + C11 + C12 + C13 + C14 + C15</f>
        <v>100000</v>
      </c>
    </row>
    <row r="17" spans="1:5" ht="43.5" customHeight="1" x14ac:dyDescent="0.25">
      <c r="C17">
        <f xml:space="preserve"> A15</f>
        <v>751000</v>
      </c>
      <c r="D17" s="6" t="s">
        <v>8</v>
      </c>
      <c r="E17" s="6" t="s">
        <v>9</v>
      </c>
    </row>
    <row r="18" spans="1:5" ht="45" customHeight="1" x14ac:dyDescent="0.25">
      <c r="A18" s="6" t="s">
        <v>6</v>
      </c>
      <c r="D18" s="6" t="s">
        <v>5</v>
      </c>
    </row>
    <row r="20" spans="1:5" ht="42" customHeight="1" x14ac:dyDescent="0.3">
      <c r="A20" t="s">
        <v>10</v>
      </c>
      <c r="B20" s="2" t="s">
        <v>0</v>
      </c>
      <c r="C20" s="2"/>
    </row>
    <row r="21" spans="1:5" ht="42.75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1">
        <f>C17+B22-C22</f>
        <v>551000</v>
      </c>
      <c r="B22" s="1"/>
      <c r="C22" s="1">
        <v>200000</v>
      </c>
      <c r="D22" s="1" t="s">
        <v>18</v>
      </c>
      <c r="E22" s="1" t="s">
        <v>26</v>
      </c>
    </row>
    <row r="23" spans="1:5" ht="41.25" customHeight="1" x14ac:dyDescent="0.2">
      <c r="A23" s="1">
        <f>A22+B23-C23</f>
        <v>573000</v>
      </c>
      <c r="B23" s="1">
        <v>22000</v>
      </c>
      <c r="C23" s="1"/>
      <c r="D23" s="1" t="s">
        <v>27</v>
      </c>
      <c r="E23" s="7" t="s">
        <v>26</v>
      </c>
    </row>
    <row r="24" spans="1:5" ht="42.75" customHeight="1" x14ac:dyDescent="0.2">
      <c r="A24" s="1">
        <f t="shared" ref="A24:A34" si="1">A23+B24-C24</f>
        <v>582000</v>
      </c>
      <c r="B24" s="1">
        <v>9000</v>
      </c>
      <c r="C24" s="1"/>
      <c r="D24" s="1" t="s">
        <v>29</v>
      </c>
      <c r="E24" s="1" t="s">
        <v>28</v>
      </c>
    </row>
    <row r="25" spans="1:5" ht="42.75" customHeight="1" x14ac:dyDescent="0.2">
      <c r="A25" s="1">
        <f t="shared" si="1"/>
        <v>620000</v>
      </c>
      <c r="B25" s="1">
        <v>38000</v>
      </c>
      <c r="C25" s="1"/>
      <c r="D25" s="1" t="s">
        <v>31</v>
      </c>
      <c r="E25" s="1" t="s">
        <v>30</v>
      </c>
    </row>
    <row r="26" spans="1:5" ht="42.75" customHeight="1" x14ac:dyDescent="0.2">
      <c r="A26" s="1">
        <f t="shared" si="1"/>
        <v>644000</v>
      </c>
      <c r="B26" s="1">
        <v>24000</v>
      </c>
      <c r="C26" s="1"/>
      <c r="D26" s="1" t="s">
        <v>33</v>
      </c>
      <c r="E26" s="1" t="s">
        <v>32</v>
      </c>
    </row>
    <row r="27" spans="1:5" ht="42" customHeight="1" x14ac:dyDescent="0.2">
      <c r="A27" s="1">
        <f t="shared" si="1"/>
        <v>669000</v>
      </c>
      <c r="B27" s="1">
        <v>25000</v>
      </c>
      <c r="C27" s="1"/>
      <c r="D27" s="1" t="s">
        <v>35</v>
      </c>
      <c r="E27" s="1" t="s">
        <v>34</v>
      </c>
    </row>
    <row r="28" spans="1:5" ht="41.25" customHeight="1" x14ac:dyDescent="0.2">
      <c r="A28" s="1">
        <f t="shared" si="1"/>
        <v>694000</v>
      </c>
      <c r="B28" s="1">
        <v>25000</v>
      </c>
      <c r="C28" s="1"/>
      <c r="D28" s="1" t="s">
        <v>37</v>
      </c>
      <c r="E28" s="1" t="s">
        <v>36</v>
      </c>
    </row>
    <row r="29" spans="1:5" ht="44.25" customHeight="1" x14ac:dyDescent="0.2">
      <c r="A29" s="1">
        <f t="shared" si="1"/>
        <v>704000</v>
      </c>
      <c r="B29" s="1">
        <v>10000</v>
      </c>
      <c r="C29" s="1"/>
      <c r="D29" s="1" t="s">
        <v>38</v>
      </c>
      <c r="E29" s="1" t="s">
        <v>36</v>
      </c>
    </row>
    <row r="30" spans="1:5" ht="42.75" customHeight="1" x14ac:dyDescent="0.2">
      <c r="A30" s="1">
        <f t="shared" si="1"/>
        <v>-96000</v>
      </c>
      <c r="B30" s="1"/>
      <c r="C30" s="1">
        <v>800000</v>
      </c>
      <c r="D30" s="1" t="s">
        <v>18</v>
      </c>
      <c r="E30" s="1" t="s">
        <v>36</v>
      </c>
    </row>
    <row r="31" spans="1:5" ht="44.25" customHeight="1" x14ac:dyDescent="0.2">
      <c r="A31" s="1">
        <f t="shared" si="1"/>
        <v>-56000</v>
      </c>
      <c r="B31" s="1">
        <v>40000</v>
      </c>
      <c r="C31" s="1"/>
      <c r="D31" s="1" t="s">
        <v>39</v>
      </c>
      <c r="E31" s="1" t="s">
        <v>36</v>
      </c>
    </row>
    <row r="32" spans="1:5" ht="42.75" customHeight="1" x14ac:dyDescent="0.2">
      <c r="A32" s="1">
        <f t="shared" si="1"/>
        <v>-26000</v>
      </c>
      <c r="B32" s="1">
        <v>30000</v>
      </c>
      <c r="C32" s="1"/>
      <c r="D32" s="1" t="s">
        <v>41</v>
      </c>
      <c r="E32" s="1" t="s">
        <v>40</v>
      </c>
    </row>
    <row r="33" spans="1:5" ht="44.25" customHeight="1" x14ac:dyDescent="0.2">
      <c r="A33" s="1">
        <f t="shared" si="1"/>
        <v>14000</v>
      </c>
      <c r="B33" s="1">
        <v>40000</v>
      </c>
      <c r="C33" s="1"/>
      <c r="D33" s="1" t="s">
        <v>43</v>
      </c>
      <c r="E33" s="1" t="s">
        <v>42</v>
      </c>
    </row>
    <row r="34" spans="1:5" ht="42.75" customHeight="1" x14ac:dyDescent="0.2">
      <c r="A34" s="1">
        <f t="shared" si="1"/>
        <v>313000</v>
      </c>
      <c r="B34" s="1">
        <v>299000</v>
      </c>
      <c r="C34" s="1"/>
      <c r="D34" s="1" t="s">
        <v>45</v>
      </c>
      <c r="E34" s="1" t="s">
        <v>44</v>
      </c>
    </row>
    <row r="35" spans="1:5" ht="19.5" customHeight="1" x14ac:dyDescent="0.2">
      <c r="B35">
        <f xml:space="preserve"> B22 + B23 + B24 + B25 + B26 + B27 + B28 +B29 + B30 + B31 + B32 + B33 + B34 +B16</f>
        <v>1413000</v>
      </c>
      <c r="C35">
        <f xml:space="preserve"> C22 + C23 + C24 + C25 + C26 + C27 + C28 + C29 + C30 + C31 + C32 + C33 + C34 +C16</f>
        <v>1100000</v>
      </c>
    </row>
    <row r="36" spans="1:5" ht="29.25" customHeight="1" x14ac:dyDescent="0.25">
      <c r="C36">
        <f xml:space="preserve"> A34</f>
        <v>313000</v>
      </c>
      <c r="D36" s="6" t="s">
        <v>8</v>
      </c>
      <c r="E36" s="6" t="s">
        <v>9</v>
      </c>
    </row>
    <row r="37" spans="1:5" ht="42.75" customHeight="1" x14ac:dyDescent="0.25">
      <c r="A37" s="6" t="s">
        <v>6</v>
      </c>
      <c r="D37" s="6" t="s">
        <v>5</v>
      </c>
    </row>
    <row r="38" spans="1:5" ht="13.5" customHeight="1" x14ac:dyDescent="0.2"/>
    <row r="39" spans="1:5" ht="32.25" customHeight="1" x14ac:dyDescent="0.3">
      <c r="A39" t="s">
        <v>10</v>
      </c>
      <c r="B39" s="2" t="s">
        <v>0</v>
      </c>
      <c r="C39" s="2"/>
    </row>
    <row r="40" spans="1:5" ht="43.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39" customHeight="1" x14ac:dyDescent="0.2">
      <c r="A41" s="1">
        <f xml:space="preserve"> C36+B41-C41</f>
        <v>338000</v>
      </c>
      <c r="B41" s="1">
        <v>25000</v>
      </c>
      <c r="C41" s="1"/>
      <c r="D41" s="1" t="s">
        <v>47</v>
      </c>
      <c r="E41" s="1" t="s">
        <v>46</v>
      </c>
    </row>
    <row r="42" spans="1:5" ht="44.25" customHeight="1" x14ac:dyDescent="0.2">
      <c r="A42" s="1">
        <f xml:space="preserve"> A41 + B42-C42</f>
        <v>413000</v>
      </c>
      <c r="B42" s="1">
        <v>75000</v>
      </c>
      <c r="C42" s="1"/>
      <c r="D42" s="1" t="s">
        <v>47</v>
      </c>
      <c r="E42" s="7" t="s">
        <v>48</v>
      </c>
    </row>
    <row r="43" spans="1:5" ht="43.5" customHeight="1" x14ac:dyDescent="0.2">
      <c r="A43" s="1">
        <f t="shared" ref="A43:A53" si="2" xml:space="preserve"> A42 + B43-C43</f>
        <v>526000</v>
      </c>
      <c r="B43" s="1">
        <v>113000</v>
      </c>
      <c r="C43" s="1"/>
      <c r="D43" s="1" t="s">
        <v>50</v>
      </c>
      <c r="E43" s="1" t="s">
        <v>49</v>
      </c>
    </row>
    <row r="44" spans="1:5" ht="42.75" customHeight="1" x14ac:dyDescent="0.2">
      <c r="A44" s="1">
        <f t="shared" si="2"/>
        <v>676000</v>
      </c>
      <c r="B44" s="1">
        <v>150000</v>
      </c>
      <c r="C44" s="1"/>
      <c r="D44" s="1" t="s">
        <v>22</v>
      </c>
      <c r="E44" s="1" t="s">
        <v>49</v>
      </c>
    </row>
    <row r="45" spans="1:5" ht="41.25" customHeight="1" x14ac:dyDescent="0.2">
      <c r="A45" s="1">
        <f t="shared" si="2"/>
        <v>796000</v>
      </c>
      <c r="B45" s="1">
        <v>120000</v>
      </c>
      <c r="C45" s="1"/>
      <c r="D45" s="1" t="s">
        <v>52</v>
      </c>
      <c r="E45" s="1" t="s">
        <v>51</v>
      </c>
    </row>
    <row r="46" spans="1:5" ht="38.25" customHeight="1" x14ac:dyDescent="0.2">
      <c r="A46" s="1">
        <f t="shared" si="2"/>
        <v>821000</v>
      </c>
      <c r="B46" s="1">
        <v>25000</v>
      </c>
      <c r="C46" s="1"/>
      <c r="D46" s="1" t="s">
        <v>53</v>
      </c>
      <c r="E46" s="1" t="s">
        <v>51</v>
      </c>
    </row>
    <row r="47" spans="1:5" ht="43.5" customHeight="1" x14ac:dyDescent="0.2">
      <c r="A47" s="1">
        <f t="shared" si="2"/>
        <v>866000</v>
      </c>
      <c r="B47" s="1">
        <v>45000</v>
      </c>
      <c r="C47" s="1"/>
      <c r="D47" s="1" t="s">
        <v>55</v>
      </c>
      <c r="E47" s="1" t="s">
        <v>54</v>
      </c>
    </row>
    <row r="48" spans="1:5" ht="42" customHeight="1" x14ac:dyDescent="0.2">
      <c r="A48" s="1">
        <f t="shared" si="2"/>
        <v>932000</v>
      </c>
      <c r="B48" s="1">
        <v>66000</v>
      </c>
      <c r="C48" s="1"/>
      <c r="D48" s="1" t="s">
        <v>56</v>
      </c>
      <c r="E48" s="1" t="s">
        <v>54</v>
      </c>
    </row>
    <row r="49" spans="1:5" ht="42.75" customHeight="1" x14ac:dyDescent="0.2">
      <c r="A49" s="1">
        <f t="shared" si="2"/>
        <v>989000</v>
      </c>
      <c r="B49" s="1">
        <f>27000+30000</f>
        <v>57000</v>
      </c>
      <c r="C49" s="1"/>
      <c r="D49" s="1" t="s">
        <v>58</v>
      </c>
      <c r="E49" s="1" t="s">
        <v>57</v>
      </c>
    </row>
    <row r="50" spans="1:5" ht="42" customHeight="1" x14ac:dyDescent="0.2">
      <c r="A50" s="1">
        <f t="shared" si="2"/>
        <v>1029000</v>
      </c>
      <c r="B50" s="1">
        <f>5000+20000+15000</f>
        <v>40000</v>
      </c>
      <c r="C50" s="1"/>
      <c r="D50" s="1" t="s">
        <v>59</v>
      </c>
      <c r="E50" s="1" t="s">
        <v>57</v>
      </c>
    </row>
    <row r="51" spans="1:5" ht="42.75" customHeight="1" x14ac:dyDescent="0.2">
      <c r="A51" s="1">
        <f t="shared" si="2"/>
        <v>1059000</v>
      </c>
      <c r="B51" s="1">
        <v>30000</v>
      </c>
      <c r="C51" s="1"/>
      <c r="D51" s="1" t="s">
        <v>35</v>
      </c>
      <c r="E51" s="1" t="s">
        <v>60</v>
      </c>
    </row>
    <row r="52" spans="1:5" ht="44.25" customHeight="1" x14ac:dyDescent="0.2">
      <c r="A52" s="1">
        <f t="shared" si="2"/>
        <v>1089000</v>
      </c>
      <c r="B52" s="1">
        <v>30000</v>
      </c>
      <c r="C52" s="1"/>
      <c r="D52" s="1" t="s">
        <v>62</v>
      </c>
      <c r="E52" s="1" t="s">
        <v>61</v>
      </c>
    </row>
    <row r="53" spans="1:5" ht="40.5" customHeight="1" x14ac:dyDescent="0.2">
      <c r="A53" s="1">
        <f t="shared" si="2"/>
        <v>1109000</v>
      </c>
      <c r="B53" s="1">
        <v>20000</v>
      </c>
      <c r="C53" s="1"/>
      <c r="D53" s="1" t="s">
        <v>64</v>
      </c>
      <c r="E53" s="1" t="s">
        <v>63</v>
      </c>
    </row>
    <row r="54" spans="1:5" ht="26.25" customHeight="1" x14ac:dyDescent="0.2">
      <c r="B54">
        <f xml:space="preserve"> B41 + B42 + B43 + B44 + B45 + B46 + B47 +B48 + B49 + B50 + B51 + B52 + B53 +B35</f>
        <v>2209000</v>
      </c>
      <c r="C54">
        <f xml:space="preserve"> C41 + C42 + C43 + C44 + C45 + C46 + C47 + C48 + C49 + C50 + C51 + C52 + C53 +C35</f>
        <v>1100000</v>
      </c>
    </row>
    <row r="55" spans="1:5" ht="40.5" customHeight="1" x14ac:dyDescent="0.25">
      <c r="C55">
        <f xml:space="preserve"> A53</f>
        <v>1109000</v>
      </c>
      <c r="D55" s="6" t="s">
        <v>8</v>
      </c>
      <c r="E55" s="6" t="s">
        <v>9</v>
      </c>
    </row>
    <row r="56" spans="1:5" ht="41.25" customHeight="1" x14ac:dyDescent="0.25">
      <c r="A56" s="6" t="s">
        <v>6</v>
      </c>
      <c r="D56" s="6" t="s">
        <v>5</v>
      </c>
    </row>
    <row r="59" spans="1:5" ht="41.25" customHeight="1" x14ac:dyDescent="0.3">
      <c r="A59" t="s">
        <v>10</v>
      </c>
      <c r="B59" s="2" t="s">
        <v>0</v>
      </c>
      <c r="C59" s="2"/>
    </row>
    <row r="60" spans="1:5" ht="42" customHeight="1" x14ac:dyDescent="0.35">
      <c r="A60" s="3" t="s">
        <v>4</v>
      </c>
      <c r="B60" s="4" t="s">
        <v>3</v>
      </c>
      <c r="C60" s="3" t="s">
        <v>1</v>
      </c>
      <c r="D60" s="5" t="s">
        <v>2</v>
      </c>
      <c r="E60" s="5" t="s">
        <v>7</v>
      </c>
    </row>
    <row r="61" spans="1:5" ht="42" customHeight="1" x14ac:dyDescent="0.2">
      <c r="A61" s="8">
        <f xml:space="preserve"> C55+B61-C61</f>
        <v>1059000</v>
      </c>
      <c r="B61" s="8"/>
      <c r="C61" s="8">
        <v>50000</v>
      </c>
      <c r="D61" s="1" t="s">
        <v>18</v>
      </c>
      <c r="E61" s="1" t="s">
        <v>65</v>
      </c>
    </row>
    <row r="62" spans="1:5" ht="42" customHeight="1" x14ac:dyDescent="0.2">
      <c r="A62" s="8">
        <f xml:space="preserve"> A61 + B62-C62</f>
        <v>1111000</v>
      </c>
      <c r="B62" s="8">
        <v>52000</v>
      </c>
      <c r="C62" s="8"/>
      <c r="D62" s="1" t="s">
        <v>66</v>
      </c>
      <c r="E62" s="7" t="s">
        <v>65</v>
      </c>
    </row>
    <row r="63" spans="1:5" ht="43.5" customHeight="1" x14ac:dyDescent="0.2">
      <c r="A63" s="8">
        <f t="shared" ref="A63:A73" si="3" xml:space="preserve"> A62 + B63-C63</f>
        <v>1146000</v>
      </c>
      <c r="B63" s="8">
        <v>35000</v>
      </c>
      <c r="C63" s="8"/>
      <c r="D63" s="1" t="s">
        <v>68</v>
      </c>
      <c r="E63" s="1" t="s">
        <v>67</v>
      </c>
    </row>
    <row r="64" spans="1:5" ht="42.75" customHeight="1" x14ac:dyDescent="0.2">
      <c r="A64" s="8">
        <f t="shared" si="3"/>
        <v>896000</v>
      </c>
      <c r="B64" s="8"/>
      <c r="C64" s="8">
        <v>250000</v>
      </c>
      <c r="D64" s="1" t="s">
        <v>70</v>
      </c>
      <c r="E64" s="1" t="s">
        <v>69</v>
      </c>
    </row>
    <row r="65" spans="1:6" ht="42.75" customHeight="1" x14ac:dyDescent="0.2">
      <c r="A65" s="8">
        <f t="shared" si="3"/>
        <v>961000</v>
      </c>
      <c r="B65" s="8">
        <v>65000</v>
      </c>
      <c r="C65" s="8"/>
      <c r="D65" s="1" t="s">
        <v>71</v>
      </c>
      <c r="E65" s="1" t="s">
        <v>69</v>
      </c>
    </row>
    <row r="66" spans="1:6" ht="42.75" customHeight="1" x14ac:dyDescent="0.2">
      <c r="A66" s="8">
        <f t="shared" si="3"/>
        <v>1024000</v>
      </c>
      <c r="B66" s="8">
        <v>63000</v>
      </c>
      <c r="C66" s="8"/>
      <c r="D66" s="1" t="s">
        <v>73</v>
      </c>
      <c r="E66" s="1" t="s">
        <v>72</v>
      </c>
    </row>
    <row r="67" spans="1:6" ht="42.75" customHeight="1" x14ac:dyDescent="0.2">
      <c r="A67" s="8">
        <f t="shared" si="3"/>
        <v>924000</v>
      </c>
      <c r="B67" s="8"/>
      <c r="C67" s="8">
        <v>100000</v>
      </c>
      <c r="D67" s="1" t="s">
        <v>18</v>
      </c>
      <c r="E67" s="1" t="s">
        <v>74</v>
      </c>
    </row>
    <row r="68" spans="1:6" ht="42" customHeight="1" x14ac:dyDescent="0.2">
      <c r="A68" s="8">
        <f t="shared" si="3"/>
        <v>954000</v>
      </c>
      <c r="B68" s="8">
        <v>30000</v>
      </c>
      <c r="C68" s="8"/>
      <c r="D68" s="1" t="s">
        <v>76</v>
      </c>
      <c r="E68" s="1" t="s">
        <v>75</v>
      </c>
    </row>
    <row r="69" spans="1:6" ht="41.25" customHeight="1" x14ac:dyDescent="0.2">
      <c r="A69" s="8">
        <f t="shared" si="3"/>
        <v>354000</v>
      </c>
      <c r="B69" s="8"/>
      <c r="C69" s="8">
        <v>600000</v>
      </c>
      <c r="D69" s="1" t="s">
        <v>70</v>
      </c>
      <c r="E69" s="1" t="s">
        <v>75</v>
      </c>
    </row>
    <row r="70" spans="1:6" ht="41.25" customHeight="1" x14ac:dyDescent="0.2">
      <c r="A70" s="8">
        <f t="shared" si="3"/>
        <v>374000</v>
      </c>
      <c r="B70" s="8">
        <v>20000</v>
      </c>
      <c r="C70" s="8"/>
      <c r="D70" s="1" t="s">
        <v>77</v>
      </c>
      <c r="E70" s="1" t="s">
        <v>75</v>
      </c>
    </row>
    <row r="71" spans="1:6" ht="42.75" customHeight="1" x14ac:dyDescent="0.2">
      <c r="A71" s="8">
        <f t="shared" si="3"/>
        <v>421000</v>
      </c>
      <c r="B71" s="8">
        <v>47000</v>
      </c>
      <c r="C71" s="8"/>
      <c r="D71" s="1" t="s">
        <v>79</v>
      </c>
      <c r="E71" s="1" t="s">
        <v>78</v>
      </c>
    </row>
    <row r="72" spans="1:6" ht="40.5" customHeight="1" x14ac:dyDescent="0.2">
      <c r="A72" s="8">
        <f t="shared" si="3"/>
        <v>451000</v>
      </c>
      <c r="B72" s="8">
        <v>30000</v>
      </c>
      <c r="C72" s="8"/>
      <c r="D72" s="1" t="s">
        <v>35</v>
      </c>
      <c r="E72" s="1" t="s">
        <v>80</v>
      </c>
    </row>
    <row r="73" spans="1:6" ht="40.5" customHeight="1" x14ac:dyDescent="0.2">
      <c r="A73" s="8">
        <f t="shared" si="3"/>
        <v>503000</v>
      </c>
      <c r="B73" s="8">
        <v>52000</v>
      </c>
      <c r="C73" s="8"/>
      <c r="D73" s="1" t="s">
        <v>82</v>
      </c>
      <c r="E73" s="1" t="s">
        <v>81</v>
      </c>
    </row>
    <row r="74" spans="1:6" ht="42" customHeight="1" x14ac:dyDescent="0.2">
      <c r="A74" s="9"/>
      <c r="B74" s="9">
        <f>SUM(B61:B73)+B54</f>
        <v>2603000</v>
      </c>
      <c r="C74" s="9">
        <f xml:space="preserve"> C61 + C62 + C63 + C64 + C65 + C66 + C67 + C68 + C69 + C70 + C71 + C72 + C73 +C54</f>
        <v>2100000</v>
      </c>
    </row>
    <row r="75" spans="1:6" ht="42" customHeight="1" x14ac:dyDescent="0.25">
      <c r="A75" s="9"/>
      <c r="B75" s="9"/>
      <c r="C75" s="9">
        <f xml:space="preserve"> A73</f>
        <v>503000</v>
      </c>
      <c r="D75" s="6" t="s">
        <v>8</v>
      </c>
      <c r="E75" s="6" t="s">
        <v>9</v>
      </c>
    </row>
    <row r="76" spans="1:6" ht="28.5" customHeight="1" x14ac:dyDescent="0.25">
      <c r="A76" s="6" t="s">
        <v>6</v>
      </c>
      <c r="D76" s="6" t="s">
        <v>5</v>
      </c>
    </row>
    <row r="78" spans="1:6" ht="29.25" customHeight="1" x14ac:dyDescent="0.3">
      <c r="A78" t="s">
        <v>10</v>
      </c>
      <c r="B78" s="2" t="s">
        <v>0</v>
      </c>
      <c r="C78" s="2"/>
    </row>
    <row r="79" spans="1:6" ht="27.75" customHeight="1" x14ac:dyDescent="0.35">
      <c r="A79" s="3" t="s">
        <v>4</v>
      </c>
      <c r="B79" s="4" t="s">
        <v>3</v>
      </c>
      <c r="C79" s="3" t="s">
        <v>1</v>
      </c>
      <c r="D79" s="5" t="s">
        <v>2</v>
      </c>
      <c r="E79" s="5" t="s">
        <v>7</v>
      </c>
    </row>
    <row r="80" spans="1:6" ht="29.25" customHeight="1" x14ac:dyDescent="0.2">
      <c r="A80" s="8">
        <f xml:space="preserve"> C75+B80-C80</f>
        <v>538000</v>
      </c>
      <c r="B80" s="8">
        <v>35000</v>
      </c>
      <c r="C80" s="8"/>
      <c r="D80" s="8" t="s">
        <v>76</v>
      </c>
      <c r="E80" s="1" t="s">
        <v>84</v>
      </c>
      <c r="F80" s="9"/>
    </row>
    <row r="81" spans="1:5" ht="27.75" customHeight="1" x14ac:dyDescent="0.2">
      <c r="A81" s="8">
        <f xml:space="preserve"> A80 + B81-C81</f>
        <v>373000</v>
      </c>
      <c r="B81" s="8"/>
      <c r="C81" s="8">
        <v>165000</v>
      </c>
      <c r="D81" s="8" t="s">
        <v>88</v>
      </c>
      <c r="E81" s="7" t="s">
        <v>87</v>
      </c>
    </row>
    <row r="82" spans="1:5" ht="28.5" customHeight="1" x14ac:dyDescent="0.2">
      <c r="A82" s="8">
        <f t="shared" ref="A82:A99" si="4" xml:space="preserve"> A81 + B82-C82</f>
        <v>430000</v>
      </c>
      <c r="B82" s="8">
        <v>57000</v>
      </c>
      <c r="C82" s="8"/>
      <c r="D82" s="8" t="s">
        <v>90</v>
      </c>
      <c r="E82" s="1" t="s">
        <v>89</v>
      </c>
    </row>
    <row r="83" spans="1:5" ht="29.25" customHeight="1" x14ac:dyDescent="0.2">
      <c r="A83" s="8">
        <f t="shared" si="4"/>
        <v>458000</v>
      </c>
      <c r="B83" s="8">
        <v>28000</v>
      </c>
      <c r="C83" s="8"/>
      <c r="D83" s="8" t="s">
        <v>91</v>
      </c>
      <c r="E83" s="1" t="s">
        <v>84</v>
      </c>
    </row>
    <row r="84" spans="1:5" ht="29.25" customHeight="1" x14ac:dyDescent="0.2">
      <c r="A84" s="8">
        <f t="shared" si="4"/>
        <v>558000</v>
      </c>
      <c r="B84" s="8">
        <v>100000</v>
      </c>
      <c r="C84" s="8"/>
      <c r="D84" s="8" t="s">
        <v>93</v>
      </c>
      <c r="E84" s="1" t="s">
        <v>92</v>
      </c>
    </row>
    <row r="85" spans="1:5" ht="28.5" customHeight="1" x14ac:dyDescent="0.2">
      <c r="A85" s="8">
        <f t="shared" si="4"/>
        <v>608000</v>
      </c>
      <c r="B85" s="8">
        <v>50000</v>
      </c>
      <c r="C85" s="8"/>
      <c r="D85" s="8" t="s">
        <v>39</v>
      </c>
      <c r="E85" s="1" t="s">
        <v>94</v>
      </c>
    </row>
    <row r="86" spans="1:5" ht="29.25" customHeight="1" x14ac:dyDescent="0.2">
      <c r="A86" s="8">
        <f t="shared" si="4"/>
        <v>668000</v>
      </c>
      <c r="B86" s="8">
        <v>60000</v>
      </c>
      <c r="C86" s="8"/>
      <c r="D86" s="8" t="s">
        <v>96</v>
      </c>
      <c r="E86" s="1" t="s">
        <v>95</v>
      </c>
    </row>
    <row r="87" spans="1:5" ht="29.25" customHeight="1" x14ac:dyDescent="0.2">
      <c r="A87" s="8">
        <f t="shared" si="4"/>
        <v>701000</v>
      </c>
      <c r="B87" s="8">
        <v>33000</v>
      </c>
      <c r="C87" s="8"/>
      <c r="D87" s="8" t="s">
        <v>82</v>
      </c>
      <c r="E87" s="1" t="s">
        <v>97</v>
      </c>
    </row>
    <row r="88" spans="1:5" ht="28.5" customHeight="1" x14ac:dyDescent="0.2">
      <c r="A88" s="8">
        <f t="shared" si="4"/>
        <v>716000</v>
      </c>
      <c r="B88" s="8">
        <v>15000</v>
      </c>
      <c r="C88" s="8"/>
      <c r="D88" s="8" t="s">
        <v>99</v>
      </c>
      <c r="E88" s="1" t="s">
        <v>98</v>
      </c>
    </row>
    <row r="89" spans="1:5" ht="29.25" customHeight="1" x14ac:dyDescent="0.2">
      <c r="A89" s="8">
        <f t="shared" si="4"/>
        <v>786000</v>
      </c>
      <c r="B89" s="8">
        <v>70000</v>
      </c>
      <c r="C89" s="8"/>
      <c r="D89" s="8" t="s">
        <v>100</v>
      </c>
      <c r="E89" s="1" t="s">
        <v>98</v>
      </c>
    </row>
    <row r="90" spans="1:5" ht="29.25" customHeight="1" x14ac:dyDescent="0.2">
      <c r="A90" s="8">
        <f t="shared" si="4"/>
        <v>821000</v>
      </c>
      <c r="B90" s="8">
        <v>35000</v>
      </c>
      <c r="C90" s="8"/>
      <c r="D90" s="8" t="s">
        <v>102</v>
      </c>
      <c r="E90" s="1" t="s">
        <v>101</v>
      </c>
    </row>
    <row r="91" spans="1:5" ht="29.25" customHeight="1" x14ac:dyDescent="0.2">
      <c r="A91" s="8">
        <f t="shared" si="4"/>
        <v>851000</v>
      </c>
      <c r="B91" s="8">
        <v>30000</v>
      </c>
      <c r="C91" s="8"/>
      <c r="D91" s="8" t="s">
        <v>37</v>
      </c>
      <c r="E91" s="1" t="s">
        <v>103</v>
      </c>
    </row>
    <row r="92" spans="1:5" ht="27.75" customHeight="1" x14ac:dyDescent="0.2">
      <c r="A92" s="8">
        <f t="shared" si="4"/>
        <v>866000</v>
      </c>
      <c r="B92" s="8">
        <v>15000</v>
      </c>
      <c r="C92" s="8"/>
      <c r="D92" s="8" t="s">
        <v>104</v>
      </c>
      <c r="E92" s="1" t="s">
        <v>103</v>
      </c>
    </row>
    <row r="93" spans="1:5" ht="27.75" customHeight="1" x14ac:dyDescent="0.2">
      <c r="A93" s="8">
        <f t="shared" si="4"/>
        <v>896000</v>
      </c>
      <c r="B93" s="8">
        <v>30000</v>
      </c>
      <c r="C93" s="8"/>
      <c r="D93" s="8" t="s">
        <v>37</v>
      </c>
      <c r="E93" s="1" t="s">
        <v>105</v>
      </c>
    </row>
    <row r="94" spans="1:5" ht="28.5" customHeight="1" x14ac:dyDescent="0.2">
      <c r="A94" s="8">
        <f t="shared" si="4"/>
        <v>963000</v>
      </c>
      <c r="B94" s="8">
        <v>67000</v>
      </c>
      <c r="C94" s="8"/>
      <c r="D94" s="10" t="s">
        <v>107</v>
      </c>
      <c r="E94" s="11" t="s">
        <v>106</v>
      </c>
    </row>
    <row r="95" spans="1:5" ht="29.25" customHeight="1" x14ac:dyDescent="0.2">
      <c r="A95" s="8">
        <f t="shared" si="4"/>
        <v>1023000</v>
      </c>
      <c r="B95" s="8">
        <v>60000</v>
      </c>
      <c r="C95" s="8"/>
      <c r="D95" s="10" t="s">
        <v>109</v>
      </c>
      <c r="E95" s="1" t="s">
        <v>108</v>
      </c>
    </row>
    <row r="96" spans="1:5" ht="29.25" customHeight="1" x14ac:dyDescent="0.2">
      <c r="A96" s="8">
        <f t="shared" si="4"/>
        <v>1028000</v>
      </c>
      <c r="B96" s="8">
        <v>5000</v>
      </c>
      <c r="C96" s="8"/>
      <c r="D96" s="8" t="s">
        <v>111</v>
      </c>
      <c r="E96" s="1" t="s">
        <v>110</v>
      </c>
    </row>
    <row r="97" spans="1:6" ht="30" customHeight="1" x14ac:dyDescent="0.2">
      <c r="A97" s="8">
        <f t="shared" si="4"/>
        <v>1098000</v>
      </c>
      <c r="B97" s="8">
        <v>70000</v>
      </c>
      <c r="C97" s="8"/>
      <c r="D97" s="8" t="s">
        <v>112</v>
      </c>
      <c r="E97" s="1" t="s">
        <v>110</v>
      </c>
    </row>
    <row r="98" spans="1:6" ht="28.5" customHeight="1" x14ac:dyDescent="0.2">
      <c r="A98" s="8">
        <f t="shared" si="4"/>
        <v>1147000</v>
      </c>
      <c r="B98" s="8">
        <v>49000</v>
      </c>
      <c r="C98" s="8"/>
      <c r="D98" s="8" t="s">
        <v>114</v>
      </c>
      <c r="E98" s="1" t="s">
        <v>113</v>
      </c>
    </row>
    <row r="99" spans="1:6" ht="30" customHeight="1" x14ac:dyDescent="0.2">
      <c r="A99" s="8">
        <f t="shared" si="4"/>
        <v>1192000</v>
      </c>
      <c r="B99" s="8">
        <v>45000</v>
      </c>
      <c r="C99" s="8"/>
      <c r="D99" s="8" t="s">
        <v>116</v>
      </c>
      <c r="E99" s="1" t="s">
        <v>115</v>
      </c>
    </row>
    <row r="100" spans="1:6" ht="28.5" customHeight="1" x14ac:dyDescent="0.2">
      <c r="A100" s="9"/>
      <c r="B100" s="9">
        <f>SUM(B80:B99) +B74</f>
        <v>3457000</v>
      </c>
      <c r="C100" s="9">
        <f>SUM(C80:C99) +C74</f>
        <v>2265000</v>
      </c>
      <c r="D100" s="9"/>
    </row>
    <row r="101" spans="1:6" ht="27.75" customHeight="1" x14ac:dyDescent="0.2">
      <c r="A101" s="9"/>
      <c r="B101" s="9"/>
      <c r="C101" s="9"/>
      <c r="D101" s="9"/>
    </row>
    <row r="102" spans="1:6" ht="27.75" customHeight="1" x14ac:dyDescent="0.25">
      <c r="A102" s="9"/>
      <c r="B102" s="9">
        <f>A99</f>
        <v>1192000</v>
      </c>
      <c r="C102" s="13" t="s">
        <v>83</v>
      </c>
      <c r="D102" s="14"/>
    </row>
    <row r="103" spans="1:6" ht="27" customHeight="1" x14ac:dyDescent="0.2"/>
    <row r="104" spans="1:6" x14ac:dyDescent="0.2">
      <c r="A104" t="s">
        <v>86</v>
      </c>
      <c r="D104" t="s">
        <v>85</v>
      </c>
    </row>
    <row r="105" spans="1:6" ht="27.75" customHeight="1" x14ac:dyDescent="0.3">
      <c r="A105" t="s">
        <v>10</v>
      </c>
      <c r="B105" s="2" t="s">
        <v>0</v>
      </c>
      <c r="C105" s="2"/>
    </row>
    <row r="106" spans="1:6" ht="28.5" customHeight="1" x14ac:dyDescent="0.35">
      <c r="A106" s="3" t="s">
        <v>4</v>
      </c>
      <c r="B106" s="4" t="s">
        <v>3</v>
      </c>
      <c r="C106" s="3" t="s">
        <v>1</v>
      </c>
      <c r="D106" s="5" t="s">
        <v>2</v>
      </c>
      <c r="E106" s="5" t="s">
        <v>7</v>
      </c>
    </row>
    <row r="107" spans="1:6" ht="29.25" customHeight="1" x14ac:dyDescent="0.2">
      <c r="A107" s="8">
        <f xml:space="preserve"> B102+B107-C107</f>
        <v>1212000</v>
      </c>
      <c r="B107" s="8">
        <v>20000</v>
      </c>
      <c r="C107" s="8"/>
      <c r="D107" s="8" t="s">
        <v>118</v>
      </c>
      <c r="E107" s="1" t="s">
        <v>117</v>
      </c>
      <c r="F107" s="9"/>
    </row>
    <row r="108" spans="1:6" ht="28.5" customHeight="1" x14ac:dyDescent="0.2">
      <c r="A108" s="8">
        <f xml:space="preserve"> A107 + B108-C108</f>
        <v>1267000</v>
      </c>
      <c r="B108" s="8">
        <v>55000</v>
      </c>
      <c r="C108" s="8"/>
      <c r="D108" s="8" t="s">
        <v>102</v>
      </c>
      <c r="E108" s="7" t="s">
        <v>119</v>
      </c>
      <c r="F108" s="9"/>
    </row>
    <row r="109" spans="1:6" ht="29.25" customHeight="1" x14ac:dyDescent="0.2">
      <c r="A109" s="8">
        <f t="shared" ref="A109:A126" si="5" xml:space="preserve"> A108 + B109-C109</f>
        <v>1357000</v>
      </c>
      <c r="B109" s="8">
        <v>90000</v>
      </c>
      <c r="C109" s="8"/>
      <c r="D109" s="8" t="s">
        <v>121</v>
      </c>
      <c r="E109" s="1" t="s">
        <v>120</v>
      </c>
    </row>
    <row r="110" spans="1:6" ht="27.75" customHeight="1" x14ac:dyDescent="0.2">
      <c r="A110" s="8">
        <f t="shared" si="5"/>
        <v>1398000</v>
      </c>
      <c r="B110" s="8">
        <v>41000</v>
      </c>
      <c r="C110" s="8"/>
      <c r="D110" s="8" t="s">
        <v>123</v>
      </c>
      <c r="E110" s="1" t="s">
        <v>122</v>
      </c>
    </row>
    <row r="111" spans="1:6" ht="27.75" customHeight="1" x14ac:dyDescent="0.2">
      <c r="A111" s="8">
        <f t="shared" si="5"/>
        <v>1458000</v>
      </c>
      <c r="B111" s="8">
        <v>60000</v>
      </c>
      <c r="C111" s="8"/>
      <c r="D111" s="8" t="s">
        <v>82</v>
      </c>
      <c r="E111" s="1" t="s">
        <v>124</v>
      </c>
    </row>
    <row r="112" spans="1:6" ht="29.25" customHeight="1" x14ac:dyDescent="0.2">
      <c r="A112" s="8">
        <f t="shared" si="5"/>
        <v>1258000</v>
      </c>
      <c r="B112" s="8"/>
      <c r="C112" s="8">
        <v>200000</v>
      </c>
      <c r="D112" s="8" t="s">
        <v>18</v>
      </c>
      <c r="E112" s="1" t="s">
        <v>124</v>
      </c>
    </row>
    <row r="113" spans="1:5" ht="28.5" customHeight="1" x14ac:dyDescent="0.2">
      <c r="A113" s="8">
        <f t="shared" si="5"/>
        <v>1350000</v>
      </c>
      <c r="B113" s="8">
        <v>92000</v>
      </c>
      <c r="C113" s="8"/>
      <c r="D113" s="8" t="s">
        <v>125</v>
      </c>
      <c r="E113" s="1" t="s">
        <v>124</v>
      </c>
    </row>
    <row r="114" spans="1:5" ht="29.25" customHeight="1" x14ac:dyDescent="0.2">
      <c r="A114" s="8">
        <f t="shared" si="5"/>
        <v>1375000</v>
      </c>
      <c r="B114" s="8">
        <v>25000</v>
      </c>
      <c r="C114" s="8"/>
      <c r="D114" s="8" t="s">
        <v>127</v>
      </c>
      <c r="E114" s="1" t="s">
        <v>126</v>
      </c>
    </row>
    <row r="115" spans="1:5" ht="28.5" customHeight="1" x14ac:dyDescent="0.2">
      <c r="A115" s="8">
        <f t="shared" si="5"/>
        <v>1438000</v>
      </c>
      <c r="B115" s="8">
        <v>63000</v>
      </c>
      <c r="C115" s="8"/>
      <c r="D115" s="8" t="s">
        <v>129</v>
      </c>
      <c r="E115" s="1" t="s">
        <v>128</v>
      </c>
    </row>
    <row r="116" spans="1:5" ht="29.25" customHeight="1" x14ac:dyDescent="0.2">
      <c r="A116" s="8">
        <f t="shared" si="5"/>
        <v>1460000</v>
      </c>
      <c r="B116" s="8">
        <v>22000</v>
      </c>
      <c r="C116" s="8"/>
      <c r="D116" s="8" t="s">
        <v>131</v>
      </c>
      <c r="E116" s="1" t="s">
        <v>130</v>
      </c>
    </row>
    <row r="117" spans="1:5" ht="27.75" customHeight="1" x14ac:dyDescent="0.2">
      <c r="A117" s="8">
        <f t="shared" si="5"/>
        <v>1485000</v>
      </c>
      <c r="B117" s="8">
        <v>25000</v>
      </c>
      <c r="C117" s="8"/>
      <c r="D117" s="8" t="s">
        <v>133</v>
      </c>
      <c r="E117" s="1" t="s">
        <v>132</v>
      </c>
    </row>
    <row r="118" spans="1:5" ht="27" customHeight="1" x14ac:dyDescent="0.2">
      <c r="A118" s="8">
        <f t="shared" si="5"/>
        <v>1555000</v>
      </c>
      <c r="B118" s="8">
        <v>70000</v>
      </c>
      <c r="C118" s="8"/>
      <c r="D118" s="8" t="s">
        <v>135</v>
      </c>
      <c r="E118" s="1" t="s">
        <v>134</v>
      </c>
    </row>
    <row r="119" spans="1:5" ht="27.75" customHeight="1" x14ac:dyDescent="0.2">
      <c r="A119" s="8">
        <f t="shared" si="5"/>
        <v>1893000</v>
      </c>
      <c r="B119" s="8">
        <v>338000</v>
      </c>
      <c r="C119" s="8"/>
      <c r="D119" s="8" t="s">
        <v>137</v>
      </c>
      <c r="E119" s="1" t="s">
        <v>136</v>
      </c>
    </row>
    <row r="120" spans="1:5" ht="28.5" customHeight="1" x14ac:dyDescent="0.2">
      <c r="A120" s="8">
        <f t="shared" si="5"/>
        <v>1393000</v>
      </c>
      <c r="B120" s="8"/>
      <c r="C120" s="8">
        <v>500000</v>
      </c>
      <c r="D120" s="8" t="s">
        <v>18</v>
      </c>
      <c r="E120" s="1" t="s">
        <v>138</v>
      </c>
    </row>
    <row r="121" spans="1:5" ht="30" customHeight="1" x14ac:dyDescent="0.2">
      <c r="A121" s="8">
        <f t="shared" si="5"/>
        <v>1593000</v>
      </c>
      <c r="B121" s="8">
        <v>200000</v>
      </c>
      <c r="C121" s="8"/>
      <c r="D121" s="10" t="s">
        <v>140</v>
      </c>
      <c r="E121" s="11" t="s">
        <v>139</v>
      </c>
    </row>
    <row r="122" spans="1:5" ht="29.25" customHeight="1" x14ac:dyDescent="0.2">
      <c r="A122" s="8">
        <f t="shared" si="5"/>
        <v>1663000</v>
      </c>
      <c r="B122" s="8">
        <v>70000</v>
      </c>
      <c r="C122" s="8"/>
      <c r="D122" s="10" t="s">
        <v>112</v>
      </c>
      <c r="E122" s="1" t="s">
        <v>141</v>
      </c>
    </row>
    <row r="123" spans="1:5" ht="29.25" customHeight="1" x14ac:dyDescent="0.2">
      <c r="A123" s="8">
        <f t="shared" si="5"/>
        <v>1663000</v>
      </c>
      <c r="B123" s="8"/>
      <c r="C123" s="8"/>
      <c r="D123" s="8"/>
      <c r="E123" s="1" t="s">
        <v>142</v>
      </c>
    </row>
    <row r="124" spans="1:5" ht="27" customHeight="1" x14ac:dyDescent="0.2">
      <c r="A124" s="8">
        <f t="shared" si="5"/>
        <v>1726000</v>
      </c>
      <c r="B124" s="8">
        <v>63000</v>
      </c>
      <c r="C124" s="8"/>
      <c r="D124" s="8" t="s">
        <v>143</v>
      </c>
      <c r="E124" s="1" t="s">
        <v>142</v>
      </c>
    </row>
    <row r="125" spans="1:5" ht="28.5" customHeight="1" x14ac:dyDescent="0.2">
      <c r="A125" s="8">
        <f t="shared" si="5"/>
        <v>1855000</v>
      </c>
      <c r="B125" s="8">
        <v>129000</v>
      </c>
      <c r="C125" s="8"/>
      <c r="D125" s="8" t="s">
        <v>145</v>
      </c>
      <c r="E125" s="1" t="s">
        <v>144</v>
      </c>
    </row>
    <row r="126" spans="1:5" ht="28.5" customHeight="1" x14ac:dyDescent="0.2">
      <c r="A126" s="8">
        <f t="shared" si="5"/>
        <v>1980000</v>
      </c>
      <c r="B126" s="8">
        <v>125000</v>
      </c>
      <c r="C126" s="8"/>
      <c r="D126" s="8" t="s">
        <v>147</v>
      </c>
      <c r="E126" s="1" t="s">
        <v>146</v>
      </c>
    </row>
    <row r="127" spans="1:5" ht="28.5" customHeight="1" x14ac:dyDescent="0.2">
      <c r="A127" s="9"/>
      <c r="B127" s="9">
        <f>SUM(B107:B126) +B100</f>
        <v>4945000</v>
      </c>
      <c r="C127" s="9">
        <f>SUM(C107:C126) +C100</f>
        <v>2965000</v>
      </c>
      <c r="D127" s="9"/>
    </row>
    <row r="128" spans="1:5" ht="30" customHeight="1" x14ac:dyDescent="0.2">
      <c r="A128" s="9"/>
      <c r="B128" s="9"/>
      <c r="C128" s="9"/>
      <c r="D128" s="9"/>
    </row>
    <row r="129" spans="1:6" ht="29.25" customHeight="1" x14ac:dyDescent="0.35">
      <c r="A129" s="9"/>
      <c r="B129" s="12">
        <f>A126</f>
        <v>1980000</v>
      </c>
      <c r="C129" s="13" t="s">
        <v>83</v>
      </c>
      <c r="D129" s="14"/>
    </row>
    <row r="130" spans="1:6" ht="28.5" customHeight="1" x14ac:dyDescent="0.2"/>
    <row r="131" spans="1:6" x14ac:dyDescent="0.2">
      <c r="A131" t="s">
        <v>86</v>
      </c>
      <c r="D131" t="s">
        <v>85</v>
      </c>
    </row>
    <row r="132" spans="1:6" ht="29.25" customHeight="1" x14ac:dyDescent="0.3">
      <c r="A132" t="s">
        <v>10</v>
      </c>
      <c r="B132" s="2" t="s">
        <v>0</v>
      </c>
      <c r="C132" s="2"/>
    </row>
    <row r="133" spans="1:6" ht="29.25" customHeight="1" x14ac:dyDescent="0.35">
      <c r="A133" s="3" t="s">
        <v>4</v>
      </c>
      <c r="B133" s="4" t="s">
        <v>3</v>
      </c>
      <c r="C133" s="3" t="s">
        <v>1</v>
      </c>
      <c r="D133" s="5" t="s">
        <v>2</v>
      </c>
      <c r="E133" s="5" t="s">
        <v>7</v>
      </c>
    </row>
    <row r="134" spans="1:6" ht="29.25" customHeight="1" x14ac:dyDescent="0.2">
      <c r="A134" s="8">
        <f xml:space="preserve"> B129+B134-C134</f>
        <v>2110000</v>
      </c>
      <c r="B134" s="8">
        <v>130000</v>
      </c>
      <c r="C134" s="8"/>
      <c r="D134" s="8" t="s">
        <v>149</v>
      </c>
      <c r="E134" s="1" t="s">
        <v>148</v>
      </c>
      <c r="F134" s="9"/>
    </row>
    <row r="135" spans="1:6" ht="29.25" customHeight="1" x14ac:dyDescent="0.2">
      <c r="A135" s="8">
        <f>A134+B135-C135</f>
        <v>1060000</v>
      </c>
      <c r="B135" s="8"/>
      <c r="C135" s="8">
        <v>1050000</v>
      </c>
      <c r="D135" s="8" t="s">
        <v>151</v>
      </c>
      <c r="E135" s="7" t="s">
        <v>150</v>
      </c>
      <c r="F135" s="9"/>
    </row>
    <row r="136" spans="1:6" ht="29.25" customHeight="1" x14ac:dyDescent="0.2">
      <c r="A136" s="8">
        <f t="shared" ref="A136:A153" si="6">A135+B136-C136</f>
        <v>860000</v>
      </c>
      <c r="B136" s="8"/>
      <c r="C136" s="8">
        <v>200000</v>
      </c>
      <c r="D136" s="8" t="s">
        <v>153</v>
      </c>
      <c r="E136" s="1" t="s">
        <v>152</v>
      </c>
    </row>
    <row r="137" spans="1:6" ht="29.25" customHeight="1" x14ac:dyDescent="0.2">
      <c r="A137" s="8">
        <f t="shared" si="6"/>
        <v>923000</v>
      </c>
      <c r="B137" s="8">
        <v>63000</v>
      </c>
      <c r="C137" s="8"/>
      <c r="D137" s="8" t="s">
        <v>155</v>
      </c>
      <c r="E137" s="1" t="s">
        <v>154</v>
      </c>
    </row>
    <row r="138" spans="1:6" ht="29.25" customHeight="1" x14ac:dyDescent="0.2">
      <c r="A138" s="8">
        <f t="shared" si="6"/>
        <v>948000</v>
      </c>
      <c r="B138" s="8">
        <v>25000</v>
      </c>
      <c r="C138" s="8"/>
      <c r="D138" s="8" t="s">
        <v>157</v>
      </c>
      <c r="E138" s="1" t="s">
        <v>156</v>
      </c>
    </row>
    <row r="139" spans="1:6" ht="29.25" customHeight="1" x14ac:dyDescent="0.2">
      <c r="A139" s="8">
        <f t="shared" si="6"/>
        <v>428000</v>
      </c>
      <c r="B139" s="8"/>
      <c r="C139" s="8">
        <v>520000</v>
      </c>
      <c r="D139" s="8" t="s">
        <v>18</v>
      </c>
      <c r="E139" s="1" t="s">
        <v>158</v>
      </c>
    </row>
    <row r="140" spans="1:6" ht="29.25" customHeight="1" x14ac:dyDescent="0.2">
      <c r="A140" s="8">
        <f t="shared" si="6"/>
        <v>531000</v>
      </c>
      <c r="B140" s="8">
        <v>103000</v>
      </c>
      <c r="C140" s="8"/>
      <c r="D140" s="8" t="s">
        <v>123</v>
      </c>
      <c r="E140" s="1" t="s">
        <v>159</v>
      </c>
    </row>
    <row r="141" spans="1:6" ht="29.25" customHeight="1" x14ac:dyDescent="0.2">
      <c r="A141" s="8">
        <f t="shared" si="6"/>
        <v>681000</v>
      </c>
      <c r="B141" s="8">
        <v>150000</v>
      </c>
      <c r="C141" s="8"/>
      <c r="D141" s="8" t="s">
        <v>160</v>
      </c>
      <c r="E141" s="1" t="s">
        <v>159</v>
      </c>
    </row>
    <row r="142" spans="1:6" ht="29.25" customHeight="1" x14ac:dyDescent="0.2">
      <c r="A142" s="8">
        <f t="shared" si="6"/>
        <v>461000</v>
      </c>
      <c r="B142" s="8"/>
      <c r="C142" s="8">
        <v>220000</v>
      </c>
      <c r="D142" s="8" t="s">
        <v>161</v>
      </c>
      <c r="E142" s="1" t="s">
        <v>159</v>
      </c>
    </row>
    <row r="143" spans="1:6" ht="29.25" customHeight="1" x14ac:dyDescent="0.2">
      <c r="A143" s="8">
        <f>A142+B143-C143</f>
        <v>566000</v>
      </c>
      <c r="B143" s="8">
        <v>105000</v>
      </c>
      <c r="C143" s="8"/>
      <c r="D143" s="8" t="s">
        <v>163</v>
      </c>
      <c r="E143" s="1" t="s">
        <v>162</v>
      </c>
    </row>
    <row r="144" spans="1:6" ht="29.25" customHeight="1" x14ac:dyDescent="0.2">
      <c r="A144" s="8">
        <f t="shared" si="6"/>
        <v>681000</v>
      </c>
      <c r="B144" s="8">
        <v>115000</v>
      </c>
      <c r="C144" s="8"/>
      <c r="D144" s="8" t="s">
        <v>165</v>
      </c>
      <c r="E144" s="1" t="s">
        <v>164</v>
      </c>
    </row>
    <row r="145" spans="1:5" ht="29.25" customHeight="1" x14ac:dyDescent="0.2">
      <c r="A145" s="8">
        <f t="shared" si="6"/>
        <v>749000</v>
      </c>
      <c r="B145" s="8">
        <v>68000</v>
      </c>
      <c r="C145" s="8"/>
      <c r="D145" s="8" t="s">
        <v>163</v>
      </c>
      <c r="E145" s="1" t="s">
        <v>166</v>
      </c>
    </row>
    <row r="146" spans="1:5" ht="29.25" customHeight="1" x14ac:dyDescent="0.2">
      <c r="A146" s="8">
        <f t="shared" si="6"/>
        <v>814000</v>
      </c>
      <c r="B146" s="8">
        <v>65000</v>
      </c>
      <c r="C146" s="8"/>
      <c r="D146" s="8" t="s">
        <v>168</v>
      </c>
      <c r="E146" s="1" t="s">
        <v>167</v>
      </c>
    </row>
    <row r="147" spans="1:5" ht="29.25" customHeight="1" x14ac:dyDescent="0.2">
      <c r="A147" s="8">
        <f t="shared" si="6"/>
        <v>882000</v>
      </c>
      <c r="B147" s="8">
        <v>68000</v>
      </c>
      <c r="C147" s="8"/>
      <c r="D147" s="8" t="s">
        <v>169</v>
      </c>
      <c r="E147" s="1" t="s">
        <v>167</v>
      </c>
    </row>
    <row r="148" spans="1:5" ht="29.25" customHeight="1" x14ac:dyDescent="0.2">
      <c r="A148" s="8">
        <f t="shared" si="6"/>
        <v>1074000</v>
      </c>
      <c r="B148" s="8">
        <v>192000</v>
      </c>
      <c r="C148" s="8"/>
      <c r="D148" s="10" t="s">
        <v>171</v>
      </c>
      <c r="E148" s="11" t="s">
        <v>170</v>
      </c>
    </row>
    <row r="149" spans="1:5" ht="29.25" customHeight="1" x14ac:dyDescent="0.2">
      <c r="A149" s="8">
        <f t="shared" si="6"/>
        <v>1009000</v>
      </c>
      <c r="B149" s="8"/>
      <c r="C149" s="8">
        <v>65000</v>
      </c>
      <c r="D149" s="10" t="s">
        <v>18</v>
      </c>
      <c r="E149" s="1" t="s">
        <v>172</v>
      </c>
    </row>
    <row r="150" spans="1:5" ht="29.25" customHeight="1" x14ac:dyDescent="0.2">
      <c r="A150" s="8">
        <f t="shared" si="6"/>
        <v>1029000</v>
      </c>
      <c r="B150" s="8">
        <v>20000</v>
      </c>
      <c r="C150" s="8"/>
      <c r="D150" s="8" t="s">
        <v>174</v>
      </c>
      <c r="E150" s="1" t="s">
        <v>173</v>
      </c>
    </row>
    <row r="151" spans="1:5" ht="29.25" customHeight="1" x14ac:dyDescent="0.2">
      <c r="A151" s="8">
        <f t="shared" si="6"/>
        <v>1289000</v>
      </c>
      <c r="B151" s="8">
        <v>260000</v>
      </c>
      <c r="C151" s="8"/>
      <c r="D151" s="8" t="s">
        <v>176</v>
      </c>
      <c r="E151" s="1" t="s">
        <v>175</v>
      </c>
    </row>
    <row r="152" spans="1:5" ht="29.25" customHeight="1" x14ac:dyDescent="0.2">
      <c r="A152" s="8">
        <f t="shared" si="6"/>
        <v>1339000</v>
      </c>
      <c r="B152" s="8">
        <v>50000</v>
      </c>
      <c r="C152" s="8"/>
      <c r="D152" s="8" t="s">
        <v>178</v>
      </c>
      <c r="E152" s="1" t="s">
        <v>177</v>
      </c>
    </row>
    <row r="153" spans="1:5" ht="29.25" customHeight="1" x14ac:dyDescent="0.2">
      <c r="A153" s="8">
        <f t="shared" si="6"/>
        <v>1509000</v>
      </c>
      <c r="B153" s="8">
        <v>170000</v>
      </c>
      <c r="C153" s="8"/>
      <c r="D153" s="8" t="s">
        <v>180</v>
      </c>
      <c r="E153" s="1" t="s">
        <v>179</v>
      </c>
    </row>
    <row r="154" spans="1:5" ht="29.25" customHeight="1" x14ac:dyDescent="0.2">
      <c r="A154" s="9"/>
      <c r="B154" s="9">
        <f>SUM(B134:B153) +B127</f>
        <v>6529000</v>
      </c>
      <c r="C154" s="9">
        <f>SUM(C134:C153) +C127</f>
        <v>5020000</v>
      </c>
      <c r="D154" s="9"/>
    </row>
    <row r="155" spans="1:5" ht="29.25" customHeight="1" x14ac:dyDescent="0.2">
      <c r="A155" s="9"/>
      <c r="B155" s="9"/>
      <c r="C155" s="9"/>
      <c r="D155" s="9"/>
    </row>
    <row r="156" spans="1:5" ht="29.25" customHeight="1" x14ac:dyDescent="0.35">
      <c r="A156" s="9"/>
      <c r="B156" s="12">
        <f>A153</f>
        <v>1509000</v>
      </c>
      <c r="C156" s="13" t="s">
        <v>83</v>
      </c>
      <c r="D156" s="14"/>
    </row>
    <row r="157" spans="1:5" ht="29.25" customHeight="1" x14ac:dyDescent="0.2">
      <c r="A157" t="s">
        <v>86</v>
      </c>
      <c r="D157" t="s">
        <v>85</v>
      </c>
    </row>
    <row r="158" spans="1:5" ht="29.25" customHeight="1" x14ac:dyDescent="0.3">
      <c r="A158" t="s">
        <v>10</v>
      </c>
      <c r="B158" s="2" t="s">
        <v>0</v>
      </c>
      <c r="C158" s="2"/>
    </row>
    <row r="159" spans="1:5" ht="29.25" customHeight="1" x14ac:dyDescent="0.35">
      <c r="A159" s="3" t="s">
        <v>4</v>
      </c>
      <c r="B159" s="4" t="s">
        <v>3</v>
      </c>
      <c r="C159" s="3" t="s">
        <v>1</v>
      </c>
      <c r="D159" s="5" t="s">
        <v>2</v>
      </c>
      <c r="E159" s="5" t="s">
        <v>7</v>
      </c>
    </row>
    <row r="160" spans="1:5" ht="29.25" customHeight="1" x14ac:dyDescent="0.2">
      <c r="A160" s="8">
        <f>B156+B160-C160</f>
        <v>1589000</v>
      </c>
      <c r="B160" s="8">
        <v>80000</v>
      </c>
      <c r="C160" s="8"/>
      <c r="D160" s="8" t="s">
        <v>182</v>
      </c>
      <c r="E160" s="1" t="s">
        <v>181</v>
      </c>
    </row>
    <row r="161" spans="1:5" ht="29.25" customHeight="1" x14ac:dyDescent="0.2">
      <c r="A161" s="8">
        <f>A160+B161-C161</f>
        <v>1744000</v>
      </c>
      <c r="B161" s="8">
        <v>155000</v>
      </c>
      <c r="C161" s="8"/>
      <c r="D161" s="8" t="s">
        <v>184</v>
      </c>
      <c r="E161" s="7" t="s">
        <v>183</v>
      </c>
    </row>
    <row r="162" spans="1:5" ht="29.25" customHeight="1" x14ac:dyDescent="0.2">
      <c r="A162" s="8">
        <f t="shared" ref="A162:A168" si="7">A161+B162-C162</f>
        <v>1798000</v>
      </c>
      <c r="B162" s="8">
        <v>54000</v>
      </c>
      <c r="C162" s="8"/>
      <c r="D162" s="8" t="s">
        <v>186</v>
      </c>
      <c r="E162" s="1" t="s">
        <v>185</v>
      </c>
    </row>
    <row r="163" spans="1:5" ht="29.25" customHeight="1" x14ac:dyDescent="0.2">
      <c r="A163" s="8">
        <f t="shared" si="7"/>
        <v>298000</v>
      </c>
      <c r="B163" s="8"/>
      <c r="C163" s="8">
        <v>1500000</v>
      </c>
      <c r="D163" s="8" t="s">
        <v>18</v>
      </c>
      <c r="E163" s="1"/>
    </row>
    <row r="164" spans="1:5" ht="29.25" customHeight="1" x14ac:dyDescent="0.2">
      <c r="A164" s="8">
        <f t="shared" si="7"/>
        <v>328000</v>
      </c>
      <c r="B164" s="8">
        <v>30000</v>
      </c>
      <c r="C164" s="8"/>
      <c r="D164" s="8" t="s">
        <v>188</v>
      </c>
      <c r="E164" s="1" t="s">
        <v>187</v>
      </c>
    </row>
    <row r="165" spans="1:5" ht="29.25" customHeight="1" x14ac:dyDescent="0.2">
      <c r="A165" s="8">
        <f t="shared" si="7"/>
        <v>238000</v>
      </c>
      <c r="B165" s="8"/>
      <c r="C165" s="8">
        <v>90000</v>
      </c>
      <c r="D165" s="8" t="s">
        <v>190</v>
      </c>
      <c r="E165" s="1" t="s">
        <v>189</v>
      </c>
    </row>
    <row r="166" spans="1:5" ht="29.25" customHeight="1" x14ac:dyDescent="0.2">
      <c r="A166" s="8">
        <f t="shared" si="7"/>
        <v>286000</v>
      </c>
      <c r="B166" s="8">
        <v>48000</v>
      </c>
      <c r="C166" s="8"/>
      <c r="D166" s="8" t="s">
        <v>176</v>
      </c>
      <c r="E166" s="1" t="s">
        <v>189</v>
      </c>
    </row>
    <row r="167" spans="1:5" ht="29.25" customHeight="1" x14ac:dyDescent="0.2">
      <c r="A167" s="8">
        <f t="shared" si="7"/>
        <v>350000</v>
      </c>
      <c r="B167" s="8">
        <v>64000</v>
      </c>
      <c r="C167" s="8"/>
      <c r="D167" s="8" t="s">
        <v>188</v>
      </c>
      <c r="E167" s="1" t="s">
        <v>191</v>
      </c>
    </row>
    <row r="168" spans="1:5" ht="29.25" customHeight="1" x14ac:dyDescent="0.2">
      <c r="A168" s="8">
        <f t="shared" si="7"/>
        <v>470000</v>
      </c>
      <c r="B168" s="8">
        <v>120000</v>
      </c>
      <c r="C168" s="8"/>
      <c r="D168" s="8" t="s">
        <v>193</v>
      </c>
      <c r="E168" s="1" t="s">
        <v>192</v>
      </c>
    </row>
    <row r="169" spans="1:5" ht="29.25" customHeight="1" x14ac:dyDescent="0.2">
      <c r="A169" s="8">
        <f>A168+B169-C169</f>
        <v>590000</v>
      </c>
      <c r="B169" s="8">
        <v>120000</v>
      </c>
      <c r="C169" s="8"/>
      <c r="D169" s="8" t="s">
        <v>29</v>
      </c>
      <c r="E169" s="1" t="s">
        <v>194</v>
      </c>
    </row>
    <row r="170" spans="1:5" ht="29.25" customHeight="1" x14ac:dyDescent="0.2">
      <c r="A170" s="8">
        <f t="shared" ref="A170:A179" si="8">A169+B170-C170</f>
        <v>706000</v>
      </c>
      <c r="B170" s="8">
        <v>116000</v>
      </c>
      <c r="C170" s="8"/>
      <c r="D170" s="8" t="s">
        <v>188</v>
      </c>
      <c r="E170" s="1" t="s">
        <v>194</v>
      </c>
    </row>
    <row r="171" spans="1:5" ht="29.25" customHeight="1" x14ac:dyDescent="0.2">
      <c r="A171" s="8">
        <f t="shared" si="8"/>
        <v>956000</v>
      </c>
      <c r="B171" s="8">
        <v>250000</v>
      </c>
      <c r="C171" s="8"/>
      <c r="D171" s="8" t="s">
        <v>196</v>
      </c>
      <c r="E171" s="1" t="s">
        <v>195</v>
      </c>
    </row>
    <row r="172" spans="1:5" ht="29.25" customHeight="1" x14ac:dyDescent="0.2">
      <c r="A172" s="8">
        <f t="shared" si="8"/>
        <v>1061000</v>
      </c>
      <c r="B172" s="8">
        <v>105000</v>
      </c>
      <c r="C172" s="8"/>
      <c r="D172" s="8" t="s">
        <v>188</v>
      </c>
      <c r="E172" s="1" t="s">
        <v>197</v>
      </c>
    </row>
    <row r="173" spans="1:5" ht="29.25" customHeight="1" x14ac:dyDescent="0.2">
      <c r="A173" s="8">
        <f t="shared" si="8"/>
        <v>1141000</v>
      </c>
      <c r="B173" s="8">
        <v>80000</v>
      </c>
      <c r="C173" s="8"/>
      <c r="D173" s="8" t="s">
        <v>199</v>
      </c>
      <c r="E173" s="1" t="s">
        <v>198</v>
      </c>
    </row>
    <row r="174" spans="1:5" ht="29.25" customHeight="1" x14ac:dyDescent="0.2">
      <c r="A174" s="8">
        <f t="shared" si="8"/>
        <v>1241000</v>
      </c>
      <c r="B174" s="8">
        <v>100000</v>
      </c>
      <c r="C174" s="8"/>
      <c r="D174" s="10" t="s">
        <v>200</v>
      </c>
      <c r="E174" s="11" t="s">
        <v>198</v>
      </c>
    </row>
    <row r="175" spans="1:5" ht="29.25" customHeight="1" x14ac:dyDescent="0.2">
      <c r="A175" s="8">
        <f t="shared" si="8"/>
        <v>1161000</v>
      </c>
      <c r="B175" s="8"/>
      <c r="C175" s="8">
        <v>80000</v>
      </c>
      <c r="D175" s="10" t="s">
        <v>202</v>
      </c>
      <c r="E175" s="1" t="s">
        <v>201</v>
      </c>
    </row>
    <row r="176" spans="1:5" ht="29.25" customHeight="1" x14ac:dyDescent="0.2">
      <c r="A176" s="8">
        <f t="shared" si="8"/>
        <v>1286000</v>
      </c>
      <c r="B176" s="8">
        <v>125000</v>
      </c>
      <c r="C176" s="8"/>
      <c r="D176" s="8" t="s">
        <v>204</v>
      </c>
      <c r="E176" s="1" t="s">
        <v>203</v>
      </c>
    </row>
    <row r="177" spans="1:5" ht="29.25" customHeight="1" x14ac:dyDescent="0.2">
      <c r="A177" s="8">
        <f t="shared" si="8"/>
        <v>1438000</v>
      </c>
      <c r="B177" s="8">
        <v>152000</v>
      </c>
      <c r="C177" s="8"/>
      <c r="D177" s="8" t="s">
        <v>176</v>
      </c>
      <c r="E177" s="1" t="s">
        <v>205</v>
      </c>
    </row>
    <row r="178" spans="1:5" ht="29.25" customHeight="1" x14ac:dyDescent="0.2">
      <c r="A178" s="8">
        <f t="shared" si="8"/>
        <v>1161000</v>
      </c>
      <c r="B178" s="8"/>
      <c r="C178" s="8">
        <v>277000</v>
      </c>
      <c r="D178" s="8" t="s">
        <v>18</v>
      </c>
      <c r="E178" s="1"/>
    </row>
    <row r="179" spans="1:5" ht="29.25" customHeight="1" x14ac:dyDescent="0.2">
      <c r="A179" s="8">
        <f t="shared" si="8"/>
        <v>1124000</v>
      </c>
      <c r="B179" s="8"/>
      <c r="C179" s="8">
        <v>37000</v>
      </c>
      <c r="D179" s="8" t="s">
        <v>207</v>
      </c>
      <c r="E179" s="1" t="s">
        <v>206</v>
      </c>
    </row>
    <row r="180" spans="1:5" ht="29.25" customHeight="1" x14ac:dyDescent="0.2">
      <c r="A180" s="9"/>
      <c r="B180" s="9">
        <f>SUM(B160:B179) +B154</f>
        <v>8128000</v>
      </c>
      <c r="C180" s="9">
        <f>SUM(C160:C179) +C154</f>
        <v>7004000</v>
      </c>
      <c r="D180" s="9"/>
    </row>
    <row r="181" spans="1:5" ht="29.25" customHeight="1" x14ac:dyDescent="0.2">
      <c r="A181" s="9"/>
      <c r="B181" s="9"/>
      <c r="C181" s="9"/>
      <c r="D181" s="9"/>
    </row>
    <row r="182" spans="1:5" ht="29.25" customHeight="1" x14ac:dyDescent="0.35">
      <c r="A182" s="9"/>
      <c r="B182" s="12">
        <f>A179</f>
        <v>1124000</v>
      </c>
      <c r="C182" s="13" t="s">
        <v>83</v>
      </c>
      <c r="D182" s="14"/>
    </row>
    <row r="183" spans="1:5" ht="29.25" customHeight="1" x14ac:dyDescent="0.2">
      <c r="A183" t="s">
        <v>86</v>
      </c>
      <c r="D183" t="s">
        <v>85</v>
      </c>
    </row>
    <row r="184" spans="1:5" ht="29.25" customHeight="1" x14ac:dyDescent="0.3">
      <c r="A184" t="s">
        <v>10</v>
      </c>
      <c r="B184" s="2" t="s">
        <v>0</v>
      </c>
      <c r="C184" s="2"/>
    </row>
    <row r="185" spans="1:5" ht="29.25" customHeight="1" x14ac:dyDescent="0.35">
      <c r="A185" s="3" t="s">
        <v>4</v>
      </c>
      <c r="B185" s="4" t="s">
        <v>3</v>
      </c>
      <c r="C185" s="3" t="s">
        <v>1</v>
      </c>
      <c r="D185" s="5" t="s">
        <v>2</v>
      </c>
      <c r="E185" s="5" t="s">
        <v>7</v>
      </c>
    </row>
    <row r="186" spans="1:5" ht="29.25" customHeight="1" x14ac:dyDescent="0.2">
      <c r="A186" s="8">
        <f>B182+B186-C186</f>
        <v>1274000</v>
      </c>
      <c r="B186" s="8">
        <v>150000</v>
      </c>
      <c r="C186" s="8"/>
      <c r="D186" s="8" t="s">
        <v>188</v>
      </c>
      <c r="E186" s="1" t="s">
        <v>208</v>
      </c>
    </row>
    <row r="187" spans="1:5" ht="29.25" customHeight="1" x14ac:dyDescent="0.2">
      <c r="A187" s="8">
        <f>A186+B187-C187</f>
        <v>1424000</v>
      </c>
      <c r="B187" s="8">
        <v>150000</v>
      </c>
      <c r="C187" s="8"/>
      <c r="D187" s="8" t="s">
        <v>188</v>
      </c>
      <c r="E187" s="7" t="s">
        <v>211</v>
      </c>
    </row>
    <row r="188" spans="1:5" ht="29.25" customHeight="1" x14ac:dyDescent="0.2">
      <c r="A188" s="8">
        <f t="shared" ref="A188:A194" si="9">A187+B188-C188</f>
        <v>1400000</v>
      </c>
      <c r="B188" s="8"/>
      <c r="C188" s="8">
        <v>24000</v>
      </c>
      <c r="D188" s="8" t="s">
        <v>210</v>
      </c>
      <c r="E188" s="1" t="s">
        <v>209</v>
      </c>
    </row>
    <row r="189" spans="1:5" ht="29.25" customHeight="1" x14ac:dyDescent="0.2">
      <c r="A189" s="8">
        <f t="shared" si="9"/>
        <v>1750000</v>
      </c>
      <c r="B189" s="8">
        <v>350000</v>
      </c>
      <c r="C189" s="8"/>
      <c r="D189" s="8" t="s">
        <v>213</v>
      </c>
      <c r="E189" s="1" t="s">
        <v>212</v>
      </c>
    </row>
    <row r="190" spans="1:5" ht="29.25" customHeight="1" x14ac:dyDescent="0.2">
      <c r="A190" s="8">
        <f t="shared" si="9"/>
        <v>1890000</v>
      </c>
      <c r="B190" s="8">
        <v>140000</v>
      </c>
      <c r="C190" s="8"/>
      <c r="D190" s="8" t="s">
        <v>188</v>
      </c>
      <c r="E190" s="1" t="s">
        <v>214</v>
      </c>
    </row>
    <row r="191" spans="1:5" ht="29.25" customHeight="1" x14ac:dyDescent="0.2">
      <c r="A191" s="8">
        <f t="shared" si="9"/>
        <v>2286000</v>
      </c>
      <c r="B191" s="8">
        <v>396000</v>
      </c>
      <c r="C191" s="8"/>
      <c r="D191" s="8" t="s">
        <v>215</v>
      </c>
      <c r="E191" s="1"/>
    </row>
    <row r="192" spans="1:5" ht="29.25" customHeight="1" x14ac:dyDescent="0.2">
      <c r="A192" s="8">
        <f t="shared" si="9"/>
        <v>2536000</v>
      </c>
      <c r="B192" s="8">
        <v>250000</v>
      </c>
      <c r="C192" s="8"/>
      <c r="D192" s="8" t="s">
        <v>217</v>
      </c>
      <c r="E192" s="1" t="s">
        <v>216</v>
      </c>
    </row>
    <row r="193" spans="1:5" ht="29.25" customHeight="1" x14ac:dyDescent="0.2">
      <c r="A193" s="8">
        <f t="shared" si="9"/>
        <v>2676000</v>
      </c>
      <c r="B193" s="8">
        <v>140000</v>
      </c>
      <c r="C193" s="8"/>
      <c r="D193" s="8" t="s">
        <v>188</v>
      </c>
      <c r="E193" s="1" t="s">
        <v>218</v>
      </c>
    </row>
    <row r="194" spans="1:5" ht="29.25" customHeight="1" x14ac:dyDescent="0.2">
      <c r="A194" s="8">
        <f t="shared" si="9"/>
        <v>2746000</v>
      </c>
      <c r="B194" s="8">
        <v>70000</v>
      </c>
      <c r="C194" s="8"/>
      <c r="D194" s="8" t="s">
        <v>220</v>
      </c>
      <c r="E194" s="1" t="s">
        <v>219</v>
      </c>
    </row>
    <row r="195" spans="1:5" ht="29.25" customHeight="1" x14ac:dyDescent="0.2">
      <c r="A195" s="8">
        <f>A194+B195-C195</f>
        <v>2814000</v>
      </c>
      <c r="B195" s="8">
        <v>68000</v>
      </c>
      <c r="C195" s="8"/>
      <c r="D195" s="8" t="s">
        <v>222</v>
      </c>
      <c r="E195" s="1" t="s">
        <v>224</v>
      </c>
    </row>
    <row r="196" spans="1:5" ht="29.25" customHeight="1" x14ac:dyDescent="0.2">
      <c r="A196" s="8">
        <f t="shared" ref="A196:A205" si="10">A195+B196-C196</f>
        <v>2914000</v>
      </c>
      <c r="B196" s="8">
        <v>100000</v>
      </c>
      <c r="C196" s="8"/>
      <c r="D196" s="8" t="s">
        <v>223</v>
      </c>
      <c r="E196" s="1" t="s">
        <v>221</v>
      </c>
    </row>
    <row r="197" spans="1:5" ht="29.25" customHeight="1" x14ac:dyDescent="0.2">
      <c r="A197" s="8">
        <f t="shared" si="10"/>
        <v>3054000</v>
      </c>
      <c r="B197" s="8">
        <v>140000</v>
      </c>
      <c r="C197" s="8"/>
      <c r="D197" s="8" t="s">
        <v>188</v>
      </c>
      <c r="E197" s="1" t="s">
        <v>225</v>
      </c>
    </row>
    <row r="198" spans="1:5" ht="29.25" customHeight="1" x14ac:dyDescent="0.2">
      <c r="A198" s="8">
        <f t="shared" si="10"/>
        <v>3104000</v>
      </c>
      <c r="B198" s="8">
        <v>50000</v>
      </c>
      <c r="C198" s="8"/>
      <c r="D198" s="8" t="s">
        <v>227</v>
      </c>
      <c r="E198" s="1" t="s">
        <v>226</v>
      </c>
    </row>
    <row r="199" spans="1:5" ht="29.25" customHeight="1" x14ac:dyDescent="0.2">
      <c r="A199" s="8">
        <f t="shared" si="10"/>
        <v>3279000</v>
      </c>
      <c r="B199" s="8">
        <v>175000</v>
      </c>
      <c r="C199" s="8"/>
      <c r="D199" s="8" t="s">
        <v>188</v>
      </c>
      <c r="E199" s="1" t="s">
        <v>228</v>
      </c>
    </row>
    <row r="200" spans="1:5" ht="29.25" customHeight="1" x14ac:dyDescent="0.2">
      <c r="A200" s="8">
        <f t="shared" si="10"/>
        <v>3391000</v>
      </c>
      <c r="B200" s="8">
        <v>112000</v>
      </c>
      <c r="C200" s="8"/>
      <c r="D200" s="8" t="s">
        <v>188</v>
      </c>
      <c r="E200" s="1" t="s">
        <v>229</v>
      </c>
    </row>
    <row r="201" spans="1:5" ht="29.25" customHeight="1" x14ac:dyDescent="0.2">
      <c r="A201" s="8">
        <f t="shared" si="10"/>
        <v>3441000</v>
      </c>
      <c r="B201" s="8">
        <v>50000</v>
      </c>
      <c r="C201" s="8"/>
      <c r="D201" s="8" t="s">
        <v>131</v>
      </c>
      <c r="E201" s="1" t="s">
        <v>230</v>
      </c>
    </row>
    <row r="202" spans="1:5" ht="29.25" customHeight="1" x14ac:dyDescent="0.2">
      <c r="A202" s="8">
        <f t="shared" si="10"/>
        <v>3525000</v>
      </c>
      <c r="B202" s="8">
        <v>84000</v>
      </c>
      <c r="C202" s="8"/>
      <c r="D202" s="8" t="s">
        <v>188</v>
      </c>
      <c r="E202" s="1" t="s">
        <v>231</v>
      </c>
    </row>
    <row r="203" spans="1:5" ht="29.25" customHeight="1" x14ac:dyDescent="0.2">
      <c r="A203" s="8">
        <f t="shared" si="10"/>
        <v>3637000</v>
      </c>
      <c r="B203" s="8">
        <v>112000</v>
      </c>
      <c r="C203" s="8"/>
      <c r="D203" s="8" t="s">
        <v>188</v>
      </c>
      <c r="E203" s="1" t="s">
        <v>232</v>
      </c>
    </row>
    <row r="204" spans="1:5" ht="29.25" customHeight="1" x14ac:dyDescent="0.2">
      <c r="A204" s="8">
        <f t="shared" si="10"/>
        <v>3329000</v>
      </c>
      <c r="B204" s="8"/>
      <c r="C204" s="8">
        <v>308000</v>
      </c>
      <c r="D204" s="8" t="s">
        <v>235</v>
      </c>
      <c r="E204" s="1" t="s">
        <v>234</v>
      </c>
    </row>
    <row r="205" spans="1:5" ht="29.25" customHeight="1" x14ac:dyDescent="0.2">
      <c r="A205" s="8">
        <f t="shared" si="10"/>
        <v>3469000</v>
      </c>
      <c r="B205" s="8">
        <v>140000</v>
      </c>
      <c r="C205" s="8"/>
      <c r="D205" s="8" t="s">
        <v>188</v>
      </c>
      <c r="E205" s="1"/>
    </row>
    <row r="206" spans="1:5" ht="29.25" customHeight="1" x14ac:dyDescent="0.2">
      <c r="A206" s="9"/>
      <c r="B206" s="9">
        <f>SUM(B186:B205) +B180</f>
        <v>10805000</v>
      </c>
      <c r="C206" s="9">
        <f>SUM(C186:C205) +C180</f>
        <v>7336000</v>
      </c>
      <c r="D206" s="9"/>
    </row>
    <row r="207" spans="1:5" ht="29.25" customHeight="1" x14ac:dyDescent="0.2">
      <c r="A207" s="9"/>
      <c r="B207" s="9"/>
      <c r="C207" s="9"/>
      <c r="D207" s="9"/>
    </row>
    <row r="208" spans="1:5" ht="29.25" customHeight="1" x14ac:dyDescent="0.35">
      <c r="A208" s="9"/>
      <c r="B208" s="12">
        <f>A205</f>
        <v>3469000</v>
      </c>
      <c r="C208" s="13" t="s">
        <v>233</v>
      </c>
      <c r="D208" s="14"/>
    </row>
    <row r="209" spans="1:5" ht="29.25" customHeight="1" x14ac:dyDescent="0.2">
      <c r="A209" t="s">
        <v>86</v>
      </c>
      <c r="D209" t="s">
        <v>85</v>
      </c>
    </row>
    <row r="210" spans="1:5" ht="29.25" customHeight="1" x14ac:dyDescent="0.3">
      <c r="A210" t="s">
        <v>10</v>
      </c>
      <c r="B210" s="2" t="s">
        <v>0</v>
      </c>
      <c r="C210" s="2"/>
    </row>
    <row r="211" spans="1:5" ht="29.25" customHeight="1" x14ac:dyDescent="0.35">
      <c r="A211" s="3" t="s">
        <v>4</v>
      </c>
      <c r="B211" s="4" t="s">
        <v>3</v>
      </c>
      <c r="C211" s="3" t="s">
        <v>1</v>
      </c>
      <c r="D211" s="5" t="s">
        <v>2</v>
      </c>
      <c r="E211" s="5" t="s">
        <v>7</v>
      </c>
    </row>
    <row r="212" spans="1:5" ht="29.25" customHeight="1" x14ac:dyDescent="0.2">
      <c r="A212" s="8">
        <f>B208+B212-C212</f>
        <v>4111000</v>
      </c>
      <c r="B212" s="8">
        <v>642000</v>
      </c>
      <c r="C212" s="8"/>
      <c r="D212" s="8" t="s">
        <v>237</v>
      </c>
      <c r="E212" s="1" t="s">
        <v>236</v>
      </c>
    </row>
    <row r="213" spans="1:5" ht="29.25" customHeight="1" x14ac:dyDescent="0.2">
      <c r="A213" s="8">
        <f>A212+B213-C213</f>
        <v>4328000</v>
      </c>
      <c r="B213" s="8">
        <v>217000</v>
      </c>
      <c r="C213" s="8"/>
      <c r="D213" s="8" t="s">
        <v>123</v>
      </c>
      <c r="E213" s="1" t="s">
        <v>238</v>
      </c>
    </row>
    <row r="214" spans="1:5" ht="29.25" customHeight="1" x14ac:dyDescent="0.2">
      <c r="A214" s="8">
        <f t="shared" ref="A214:A220" si="11">A213+B214-C214</f>
        <v>4448000</v>
      </c>
      <c r="B214" s="8">
        <v>120000</v>
      </c>
      <c r="C214" s="8"/>
      <c r="D214" s="8" t="s">
        <v>239</v>
      </c>
      <c r="E214" s="1"/>
    </row>
    <row r="215" spans="1:5" ht="29.25" customHeight="1" x14ac:dyDescent="0.2">
      <c r="A215" s="8">
        <f t="shared" si="11"/>
        <v>3748000</v>
      </c>
      <c r="B215" s="8"/>
      <c r="C215" s="8">
        <v>700000</v>
      </c>
      <c r="D215" s="8" t="s">
        <v>241</v>
      </c>
      <c r="E215" s="1" t="s">
        <v>240</v>
      </c>
    </row>
    <row r="216" spans="1:5" ht="29.25" customHeight="1" x14ac:dyDescent="0.2">
      <c r="A216" s="8">
        <f t="shared" si="11"/>
        <v>3860000</v>
      </c>
      <c r="B216" s="8">
        <v>112000</v>
      </c>
      <c r="C216" s="8"/>
      <c r="D216" s="8" t="s">
        <v>188</v>
      </c>
      <c r="E216" s="1" t="s">
        <v>242</v>
      </c>
    </row>
    <row r="217" spans="1:5" ht="29.25" customHeight="1" x14ac:dyDescent="0.2">
      <c r="A217" s="8">
        <f t="shared" si="11"/>
        <v>3910000</v>
      </c>
      <c r="B217" s="8">
        <v>50000</v>
      </c>
      <c r="C217" s="8"/>
      <c r="D217" s="8" t="s">
        <v>244</v>
      </c>
      <c r="E217" s="1" t="s">
        <v>243</v>
      </c>
    </row>
    <row r="218" spans="1:5" ht="29.25" customHeight="1" x14ac:dyDescent="0.2">
      <c r="A218" s="8">
        <f t="shared" si="11"/>
        <v>4012000</v>
      </c>
      <c r="B218" s="8">
        <v>102000</v>
      </c>
      <c r="C218" s="8"/>
      <c r="D218" s="8" t="s">
        <v>188</v>
      </c>
      <c r="E218" s="1" t="s">
        <v>245</v>
      </c>
    </row>
    <row r="219" spans="1:5" ht="29.25" customHeight="1" x14ac:dyDescent="0.2">
      <c r="A219" s="8">
        <f t="shared" si="11"/>
        <v>4097000</v>
      </c>
      <c r="B219" s="8">
        <v>85000</v>
      </c>
      <c r="C219" s="8"/>
      <c r="D219" s="8" t="s">
        <v>246</v>
      </c>
      <c r="E219" s="1"/>
    </row>
    <row r="220" spans="1:5" ht="29.25" customHeight="1" x14ac:dyDescent="0.2">
      <c r="A220" s="8">
        <f t="shared" si="11"/>
        <v>4243000</v>
      </c>
      <c r="B220" s="8">
        <v>146000</v>
      </c>
      <c r="C220" s="8"/>
      <c r="D220" s="8" t="s">
        <v>247</v>
      </c>
      <c r="E220" s="1"/>
    </row>
    <row r="221" spans="1:5" ht="29.25" customHeight="1" x14ac:dyDescent="0.2">
      <c r="A221" s="8">
        <f>A220+B221-C221</f>
        <v>4318000</v>
      </c>
      <c r="B221" s="8">
        <v>75000</v>
      </c>
      <c r="C221" s="8"/>
      <c r="D221" s="8" t="s">
        <v>249</v>
      </c>
      <c r="E221" s="1" t="s">
        <v>248</v>
      </c>
    </row>
    <row r="222" spans="1:5" ht="27" customHeight="1" x14ac:dyDescent="0.2">
      <c r="A222" s="8">
        <f t="shared" ref="A222:A231" si="12">A221+B222-C222</f>
        <v>4364000</v>
      </c>
      <c r="B222" s="8">
        <v>46000</v>
      </c>
      <c r="C222" s="8"/>
      <c r="D222" s="8" t="s">
        <v>222</v>
      </c>
      <c r="E222" s="1" t="s">
        <v>250</v>
      </c>
    </row>
    <row r="223" spans="1:5" ht="27" customHeight="1" x14ac:dyDescent="0.2">
      <c r="A223" s="8">
        <f t="shared" si="12"/>
        <v>4424000</v>
      </c>
      <c r="B223" s="8">
        <v>60000</v>
      </c>
      <c r="C223" s="8"/>
      <c r="D223" s="8" t="s">
        <v>252</v>
      </c>
      <c r="E223" s="1" t="s">
        <v>251</v>
      </c>
    </row>
    <row r="224" spans="1:5" ht="27" customHeight="1" x14ac:dyDescent="0.2">
      <c r="A224" s="8">
        <f t="shared" si="12"/>
        <v>4494000</v>
      </c>
      <c r="B224" s="8">
        <v>70000</v>
      </c>
      <c r="C224" s="8"/>
      <c r="D224" s="8" t="s">
        <v>35</v>
      </c>
      <c r="E224" s="1" t="s">
        <v>253</v>
      </c>
    </row>
    <row r="225" spans="1:5" ht="27" customHeight="1" x14ac:dyDescent="0.2">
      <c r="A225" s="8">
        <f t="shared" si="12"/>
        <v>4656000</v>
      </c>
      <c r="B225" s="8">
        <v>162000</v>
      </c>
      <c r="C225" s="8"/>
      <c r="D225" s="8" t="s">
        <v>188</v>
      </c>
      <c r="E225" s="1"/>
    </row>
    <row r="226" spans="1:5" ht="27" customHeight="1" x14ac:dyDescent="0.2">
      <c r="A226" s="8">
        <f t="shared" si="12"/>
        <v>4526000</v>
      </c>
      <c r="B226" s="8"/>
      <c r="C226" s="8">
        <v>130000</v>
      </c>
      <c r="D226" s="8" t="s">
        <v>255</v>
      </c>
      <c r="E226" s="1" t="s">
        <v>254</v>
      </c>
    </row>
    <row r="227" spans="1:5" ht="27" customHeight="1" x14ac:dyDescent="0.2">
      <c r="A227" s="8">
        <f t="shared" si="12"/>
        <v>4606000</v>
      </c>
      <c r="B227" s="8">
        <v>80000</v>
      </c>
      <c r="C227" s="8"/>
      <c r="D227" s="8" t="s">
        <v>76</v>
      </c>
      <c r="E227" s="1" t="s">
        <v>256</v>
      </c>
    </row>
    <row r="228" spans="1:5" ht="27" customHeight="1" x14ac:dyDescent="0.2">
      <c r="A228" s="8">
        <f t="shared" si="12"/>
        <v>4768000</v>
      </c>
      <c r="B228" s="8">
        <v>162000</v>
      </c>
      <c r="C228" s="8"/>
      <c r="D228" s="8" t="s">
        <v>188</v>
      </c>
      <c r="E228" s="1" t="s">
        <v>257</v>
      </c>
    </row>
    <row r="229" spans="1:5" ht="27" customHeight="1" x14ac:dyDescent="0.2">
      <c r="A229" s="8">
        <f t="shared" si="12"/>
        <v>4828000</v>
      </c>
      <c r="B229" s="8">
        <v>60000</v>
      </c>
      <c r="C229" s="8"/>
      <c r="D229" s="8" t="s">
        <v>259</v>
      </c>
      <c r="E229" s="1" t="s">
        <v>258</v>
      </c>
    </row>
    <row r="230" spans="1:5" ht="27" customHeight="1" x14ac:dyDescent="0.2">
      <c r="A230" s="8">
        <f t="shared" si="12"/>
        <v>5087000</v>
      </c>
      <c r="B230" s="8">
        <v>259000</v>
      </c>
      <c r="C230" s="8"/>
      <c r="D230" s="8" t="s">
        <v>261</v>
      </c>
      <c r="E230" s="1" t="s">
        <v>260</v>
      </c>
    </row>
    <row r="231" spans="1:5" ht="27" customHeight="1" x14ac:dyDescent="0.2">
      <c r="A231" s="8">
        <f t="shared" si="12"/>
        <v>5187000</v>
      </c>
      <c r="B231" s="8">
        <v>100000</v>
      </c>
      <c r="C231" s="8"/>
      <c r="D231" s="8" t="s">
        <v>76</v>
      </c>
      <c r="E231" s="1" t="s">
        <v>262</v>
      </c>
    </row>
    <row r="232" spans="1:5" ht="27" customHeight="1" x14ac:dyDescent="0.2">
      <c r="A232" s="9"/>
      <c r="B232" s="9">
        <f>SUM(B212:B231) +B206</f>
        <v>13353000</v>
      </c>
      <c r="C232" s="9">
        <f>SUM(C212:C231) +C206</f>
        <v>8166000</v>
      </c>
      <c r="D232" s="9"/>
    </row>
    <row r="233" spans="1:5" ht="27" customHeight="1" x14ac:dyDescent="0.2">
      <c r="A233" s="9"/>
      <c r="B233" s="9"/>
      <c r="C233" s="9"/>
      <c r="D233" s="9"/>
    </row>
    <row r="234" spans="1:5" ht="27" customHeight="1" x14ac:dyDescent="0.35">
      <c r="A234" s="9"/>
      <c r="B234" s="12">
        <f>A231</f>
        <v>5187000</v>
      </c>
      <c r="C234" s="13" t="s">
        <v>233</v>
      </c>
      <c r="D234" s="14"/>
    </row>
    <row r="235" spans="1:5" ht="27" customHeight="1" x14ac:dyDescent="0.2">
      <c r="A235" t="s">
        <v>86</v>
      </c>
      <c r="D235" t="s">
        <v>85</v>
      </c>
    </row>
    <row r="236" spans="1:5" ht="27" customHeight="1" x14ac:dyDescent="0.2"/>
    <row r="237" spans="1:5" ht="27" customHeight="1" x14ac:dyDescent="0.3">
      <c r="A237" t="s">
        <v>10</v>
      </c>
      <c r="B237" s="2" t="s">
        <v>0</v>
      </c>
      <c r="C237" s="2"/>
    </row>
    <row r="238" spans="1:5" ht="27" customHeight="1" x14ac:dyDescent="0.35">
      <c r="A238" s="3" t="s">
        <v>4</v>
      </c>
      <c r="B238" s="4" t="s">
        <v>3</v>
      </c>
      <c r="C238" s="3" t="s">
        <v>1</v>
      </c>
      <c r="D238" s="5" t="s">
        <v>2</v>
      </c>
      <c r="E238" s="5" t="s">
        <v>7</v>
      </c>
    </row>
    <row r="239" spans="1:5" ht="27" customHeight="1" x14ac:dyDescent="0.2">
      <c r="A239" s="8">
        <f>B234+B239-C239</f>
        <v>5349000</v>
      </c>
      <c r="B239" s="8">
        <v>162000</v>
      </c>
      <c r="C239" s="8"/>
      <c r="D239" s="8" t="s">
        <v>188</v>
      </c>
      <c r="E239" s="1" t="s">
        <v>263</v>
      </c>
    </row>
    <row r="240" spans="1:5" ht="27" customHeight="1" x14ac:dyDescent="0.2">
      <c r="A240" s="8">
        <f>A239+B240-C240</f>
        <v>5379000</v>
      </c>
      <c r="B240" s="8">
        <v>30000</v>
      </c>
      <c r="C240" s="8"/>
      <c r="D240" s="8" t="s">
        <v>99</v>
      </c>
      <c r="E240" s="1"/>
    </row>
    <row r="241" spans="1:5" ht="27" customHeight="1" x14ac:dyDescent="0.2">
      <c r="A241" s="8">
        <f t="shared" ref="A241:A247" si="13">A240+B241-C241</f>
        <v>5450000</v>
      </c>
      <c r="B241" s="8">
        <v>71000</v>
      </c>
      <c r="C241" s="8"/>
      <c r="D241" s="8" t="s">
        <v>239</v>
      </c>
      <c r="E241" s="1" t="s">
        <v>264</v>
      </c>
    </row>
    <row r="242" spans="1:5" ht="27" customHeight="1" x14ac:dyDescent="0.2">
      <c r="A242" s="8">
        <f t="shared" si="13"/>
        <v>5639000</v>
      </c>
      <c r="B242" s="8">
        <v>189000</v>
      </c>
      <c r="C242" s="8"/>
      <c r="D242" s="8" t="s">
        <v>188</v>
      </c>
      <c r="E242" s="1" t="s">
        <v>265</v>
      </c>
    </row>
    <row r="243" spans="1:5" ht="27" customHeight="1" x14ac:dyDescent="0.2">
      <c r="A243" s="8">
        <f t="shared" si="13"/>
        <v>5755000</v>
      </c>
      <c r="B243" s="8">
        <v>116000</v>
      </c>
      <c r="C243" s="8"/>
      <c r="D243" s="8" t="s">
        <v>267</v>
      </c>
      <c r="E243" s="1" t="s">
        <v>266</v>
      </c>
    </row>
    <row r="244" spans="1:5" ht="27" customHeight="1" x14ac:dyDescent="0.2">
      <c r="A244" s="8">
        <f>A243+B244-C244</f>
        <v>5925000</v>
      </c>
      <c r="B244" s="8">
        <v>170000</v>
      </c>
      <c r="C244" s="8"/>
      <c r="D244" s="8" t="s">
        <v>269</v>
      </c>
      <c r="E244" s="1" t="s">
        <v>268</v>
      </c>
    </row>
    <row r="245" spans="1:5" ht="27" customHeight="1" x14ac:dyDescent="0.2">
      <c r="A245" s="8">
        <f t="shared" si="13"/>
        <v>6080000</v>
      </c>
      <c r="B245" s="8">
        <v>155000</v>
      </c>
      <c r="C245" s="8"/>
      <c r="D245" s="8" t="s">
        <v>188</v>
      </c>
      <c r="E245" s="1" t="s">
        <v>270</v>
      </c>
    </row>
    <row r="246" spans="1:5" ht="27" customHeight="1" x14ac:dyDescent="0.2">
      <c r="A246" s="8">
        <f t="shared" si="13"/>
        <v>6280000</v>
      </c>
      <c r="B246" s="8">
        <v>200000</v>
      </c>
      <c r="C246" s="8"/>
      <c r="D246" s="8" t="s">
        <v>271</v>
      </c>
      <c r="E246" s="1"/>
    </row>
    <row r="247" spans="1:5" ht="27" customHeight="1" x14ac:dyDescent="0.2">
      <c r="A247" s="8">
        <f t="shared" si="13"/>
        <v>6335000</v>
      </c>
      <c r="B247" s="8">
        <v>55000</v>
      </c>
      <c r="C247" s="8"/>
      <c r="D247" s="8" t="s">
        <v>273</v>
      </c>
      <c r="E247" s="1" t="s">
        <v>272</v>
      </c>
    </row>
    <row r="248" spans="1:5" ht="27" customHeight="1" x14ac:dyDescent="0.2">
      <c r="A248" s="8">
        <f>A247+B248-C248</f>
        <v>6522000</v>
      </c>
      <c r="B248" s="8">
        <v>187000</v>
      </c>
      <c r="C248" s="8"/>
      <c r="D248" s="8" t="s">
        <v>188</v>
      </c>
      <c r="E248" s="1" t="s">
        <v>274</v>
      </c>
    </row>
    <row r="249" spans="1:5" ht="27" customHeight="1" x14ac:dyDescent="0.2">
      <c r="A249" s="8">
        <f t="shared" ref="A249:A258" si="14">A248+B249-C249</f>
        <v>6618000</v>
      </c>
      <c r="B249" s="8">
        <v>96000</v>
      </c>
      <c r="C249" s="8"/>
      <c r="D249" s="8" t="s">
        <v>276</v>
      </c>
      <c r="E249" s="1" t="s">
        <v>275</v>
      </c>
    </row>
    <row r="250" spans="1:5" ht="27" customHeight="1" x14ac:dyDescent="0.2">
      <c r="A250" s="8">
        <f t="shared" si="14"/>
        <v>6843000</v>
      </c>
      <c r="B250" s="8">
        <v>225000</v>
      </c>
      <c r="C250" s="8"/>
      <c r="D250" s="8" t="s">
        <v>188</v>
      </c>
      <c r="E250" s="1" t="s">
        <v>277</v>
      </c>
    </row>
    <row r="251" spans="1:5" ht="27" customHeight="1" x14ac:dyDescent="0.2">
      <c r="A251" s="8">
        <f t="shared" si="14"/>
        <v>6893000</v>
      </c>
      <c r="B251" s="8">
        <v>50000</v>
      </c>
      <c r="C251" s="8"/>
      <c r="D251" s="8" t="s">
        <v>37</v>
      </c>
      <c r="E251" s="1" t="s">
        <v>278</v>
      </c>
    </row>
    <row r="252" spans="1:5" ht="27" customHeight="1" x14ac:dyDescent="0.2">
      <c r="A252" s="8">
        <f t="shared" si="14"/>
        <v>6655000</v>
      </c>
      <c r="B252" s="8"/>
      <c r="C252" s="8">
        <v>238000</v>
      </c>
      <c r="D252" s="8" t="s">
        <v>280</v>
      </c>
      <c r="E252" s="1" t="s">
        <v>279</v>
      </c>
    </row>
    <row r="253" spans="1:5" ht="27" customHeight="1" x14ac:dyDescent="0.2">
      <c r="A253" s="8">
        <f t="shared" si="14"/>
        <v>6671000</v>
      </c>
      <c r="B253" s="8">
        <v>16000</v>
      </c>
      <c r="C253" s="8"/>
      <c r="D253" s="8" t="s">
        <v>29</v>
      </c>
      <c r="E253" s="1" t="s">
        <v>281</v>
      </c>
    </row>
    <row r="254" spans="1:5" ht="27" customHeight="1" x14ac:dyDescent="0.2">
      <c r="A254" s="8">
        <f t="shared" si="14"/>
        <v>6871000</v>
      </c>
      <c r="B254" s="8">
        <v>200000</v>
      </c>
      <c r="C254" s="8"/>
      <c r="D254" s="8" t="s">
        <v>188</v>
      </c>
      <c r="E254" s="1"/>
    </row>
    <row r="255" spans="1:5" ht="27" customHeight="1" x14ac:dyDescent="0.2">
      <c r="A255" s="8">
        <f t="shared" si="14"/>
        <v>7096000</v>
      </c>
      <c r="B255" s="8">
        <v>225000</v>
      </c>
      <c r="C255" s="8"/>
      <c r="D255" s="8" t="s">
        <v>188</v>
      </c>
      <c r="E255" s="1" t="s">
        <v>282</v>
      </c>
    </row>
    <row r="256" spans="1:5" ht="27" customHeight="1" x14ac:dyDescent="0.2">
      <c r="A256" s="8">
        <f t="shared" si="14"/>
        <v>7166000</v>
      </c>
      <c r="B256" s="8">
        <v>70000</v>
      </c>
      <c r="C256" s="8"/>
      <c r="D256" s="8" t="s">
        <v>35</v>
      </c>
      <c r="E256" s="1"/>
    </row>
    <row r="257" spans="1:5" ht="27" customHeight="1" x14ac:dyDescent="0.2">
      <c r="A257" s="8">
        <f t="shared" si="14"/>
        <v>7216000</v>
      </c>
      <c r="B257" s="8">
        <v>50000</v>
      </c>
      <c r="C257" s="8"/>
      <c r="D257" s="8" t="s">
        <v>37</v>
      </c>
      <c r="E257" s="1" t="s">
        <v>283</v>
      </c>
    </row>
    <row r="258" spans="1:5" ht="27" customHeight="1" x14ac:dyDescent="0.2">
      <c r="A258" s="8">
        <f t="shared" si="14"/>
        <v>7266000</v>
      </c>
      <c r="B258" s="8">
        <v>50000</v>
      </c>
      <c r="C258" s="8"/>
      <c r="D258" s="8" t="s">
        <v>37</v>
      </c>
      <c r="E258" s="1" t="s">
        <v>284</v>
      </c>
    </row>
    <row r="259" spans="1:5" ht="27" customHeight="1" x14ac:dyDescent="0.2">
      <c r="A259" s="9"/>
      <c r="B259" s="9">
        <f>SUM(B239:B258) +B233</f>
        <v>2317000</v>
      </c>
      <c r="C259" s="9">
        <f>SUM(C239:C258) +C233</f>
        <v>238000</v>
      </c>
      <c r="D259" s="9"/>
    </row>
    <row r="260" spans="1:5" ht="27" customHeight="1" x14ac:dyDescent="0.2">
      <c r="A260" s="9"/>
      <c r="B260" s="9"/>
      <c r="C260" s="9"/>
      <c r="D260" s="9"/>
    </row>
    <row r="261" spans="1:5" ht="27" customHeight="1" x14ac:dyDescent="0.35">
      <c r="A261" s="9"/>
      <c r="B261" s="12">
        <f>A258</f>
        <v>7266000</v>
      </c>
      <c r="C261" s="13" t="s">
        <v>233</v>
      </c>
      <c r="D261" s="14"/>
    </row>
    <row r="262" spans="1:5" ht="27" customHeight="1" x14ac:dyDescent="0.2">
      <c r="A262" t="s">
        <v>86</v>
      </c>
      <c r="D262" t="s">
        <v>85</v>
      </c>
    </row>
    <row r="263" spans="1:5" ht="27" customHeight="1" x14ac:dyDescent="0.2"/>
    <row r="264" spans="1:5" ht="27" customHeight="1" x14ac:dyDescent="0.2"/>
    <row r="265" spans="1:5" ht="27" customHeight="1" x14ac:dyDescent="0.2"/>
    <row r="266" spans="1:5" ht="27" customHeight="1" x14ac:dyDescent="0.2"/>
    <row r="267" spans="1:5" ht="27" customHeight="1" x14ac:dyDescent="0.2"/>
    <row r="268" spans="1:5" ht="27" customHeight="1" x14ac:dyDescent="0.2"/>
    <row r="269" spans="1:5" ht="27" customHeight="1" x14ac:dyDescent="0.2"/>
  </sheetData>
  <mergeCells count="7">
    <mergeCell ref="C261:D261"/>
    <mergeCell ref="C234:D234"/>
    <mergeCell ref="C102:D102"/>
    <mergeCell ref="C129:D129"/>
    <mergeCell ref="C156:D156"/>
    <mergeCell ref="C182:D182"/>
    <mergeCell ref="C208:D208"/>
  </mergeCells>
  <conditionalFormatting sqref="B156">
    <cfRule type="cellIs" dxfId="14" priority="13" operator="lessThanOr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B182">
    <cfRule type="cellIs" dxfId="11" priority="10" operator="lessThanOr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B208">
    <cfRule type="cellIs" dxfId="8" priority="7" operator="lessThanOrEqual">
      <formula>0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B234">
    <cfRule type="cellIs" dxfId="5" priority="4" operator="lessThanOr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B261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2026-10-14T13:43:07Z</dcterms:modified>
</cp:coreProperties>
</file>