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B4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C43" i="1" s="1"/>
  <c r="H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B16" i="1" l="1"/>
  <c r="C16" i="1" l="1"/>
  <c r="C17" i="1" l="1"/>
</calcChain>
</file>

<file path=xl/sharedStrings.xml><?xml version="1.0" encoding="utf-8"?>
<sst xmlns="http://schemas.openxmlformats.org/spreadsheetml/2006/main" count="70" uniqueCount="47">
  <si>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</si>
  <si>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</si>
  <si>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</si>
  <si>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</si>
  <si>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</si>
  <si>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</si>
  <si>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</si>
  <si>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</si>
  <si>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</si>
  <si>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</si>
  <si>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امیر مهدی رحمتی</t>
  </si>
  <si>
    <t>دنگ عرق</t>
  </si>
  <si>
    <t>مزه</t>
  </si>
  <si>
    <t>ابنبات</t>
  </si>
  <si>
    <t>وجه</t>
  </si>
  <si>
    <t>دنگ سیگار بنشتنه فوتبالی</t>
  </si>
  <si>
    <t>1404/03/08</t>
  </si>
  <si>
    <t>سیاست</t>
  </si>
  <si>
    <t>1404/06/01</t>
  </si>
  <si>
    <t>دنگ آبجو</t>
  </si>
  <si>
    <t>1404/09/21</t>
  </si>
  <si>
    <t>دنگ دو گن</t>
  </si>
  <si>
    <t>دنگ مزه</t>
  </si>
  <si>
    <t>1404/09/28</t>
  </si>
  <si>
    <t>ذغال ابمیوه البالو</t>
  </si>
  <si>
    <t>چیپس پفک</t>
  </si>
  <si>
    <t>وجه پارکینگ</t>
  </si>
  <si>
    <t>1404/10/24</t>
  </si>
  <si>
    <t>سیگار</t>
  </si>
  <si>
    <t>1404/11/02</t>
  </si>
  <si>
    <t>سیگار شب جمعه عرق</t>
  </si>
  <si>
    <t>1404/11/16</t>
  </si>
  <si>
    <t>1405/02/22</t>
  </si>
  <si>
    <t>1405/02/29</t>
  </si>
  <si>
    <t>1405/03/16</t>
  </si>
  <si>
    <t>1405/03/24</t>
  </si>
  <si>
    <t>سیگار…..</t>
  </si>
  <si>
    <t>1405/03/30</t>
  </si>
  <si>
    <t>1405/04/02</t>
  </si>
  <si>
    <t>1405/04/04</t>
  </si>
  <si>
    <t>جمع کل حساب احتساب اخرین فاکتور :</t>
  </si>
  <si>
    <t>1405/04/19</t>
  </si>
  <si>
    <t>دنگ کیک رضا</t>
  </si>
  <si>
    <t>1405/06/05</t>
  </si>
  <si>
    <t>1405/06/07</t>
  </si>
  <si>
    <t>1405/06/11</t>
  </si>
  <si>
    <t>1405/06/18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</si>
</sst>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6" fillId="0" borderId="0" xfId="0" applyNumberFormat="1" applyFont="1" applyFill="1"/>
    <xf numFmtId="0" fontId="0" fillId="0" borderId="1" xfId="0" applyBorder="1"/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29" zoomScaleNormal="100" workbookViewId="0">
      <selection activeCell="F36" sqref="F36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  <col min="8" max="8" width="16.875" customWidth="1"/>
  </cols>
  <sheetData>
    <row r="1" spans="1:8" ht="42" customHeight="1" x14ac:dyDescent="0.3">
      <c r="A1" t="s">
        <v>10</v>
      </c>
      <c r="B1" s="1" t="s">
        <v>0</v>
      </c>
      <c r="C1" s="1"/>
    </row>
    <row r="2" spans="1:8" ht="42.75" customHeight="1" x14ac:dyDescent="0.35">
      <c r="A2" s="2" t="s">
        <v>4</v>
      </c>
      <c r="B2" s="3" t="s">
        <v>3</v>
      </c>
      <c r="C2" s="2" t="s">
        <v>1</v>
      </c>
      <c r="D2" s="4" t="s">
        <v>2</v>
      </c>
      <c r="E2" s="4" t="s">
        <v>7</v>
      </c>
      <c r="H2" s="7">
        <f>C43</f>
        <v>150000</v>
      </c>
    </row>
    <row r="3" spans="1:8" ht="42.75" customHeight="1" x14ac:dyDescent="0.2">
      <c r="A3" s="6">
        <f xml:space="preserve"> B3</f>
        <v>200000</v>
      </c>
      <c r="B3" s="6">
        <v>200000</v>
      </c>
      <c r="C3" s="6"/>
      <c r="D3" s="6" t="s">
        <v>11</v>
      </c>
      <c r="E3" s="6"/>
      <c r="F3" s="7"/>
    </row>
    <row r="4" spans="1:8" ht="43.5" customHeight="1" x14ac:dyDescent="0.2">
      <c r="A4" s="6">
        <f xml:space="preserve"> A3 + B4-C4</f>
        <v>240000</v>
      </c>
      <c r="B4" s="6">
        <v>40000</v>
      </c>
      <c r="C4" s="6"/>
      <c r="D4" s="6" t="s">
        <v>12</v>
      </c>
      <c r="E4" s="6"/>
      <c r="F4" s="7"/>
    </row>
    <row r="5" spans="1:8" ht="43.5" customHeight="1" x14ac:dyDescent="0.2">
      <c r="A5" s="6">
        <f t="shared" ref="A5:A15" si="0" xml:space="preserve"> A4 + B5-C5</f>
        <v>245000</v>
      </c>
      <c r="B5" s="6">
        <v>5000</v>
      </c>
      <c r="C5" s="6"/>
      <c r="D5" s="6" t="s">
        <v>13</v>
      </c>
      <c r="E5" s="6"/>
      <c r="F5" s="7"/>
    </row>
    <row r="6" spans="1:8" ht="42.75" customHeight="1" x14ac:dyDescent="0.2">
      <c r="A6" s="6">
        <f t="shared" si="0"/>
        <v>165000</v>
      </c>
      <c r="B6" s="6"/>
      <c r="C6" s="6">
        <v>80000</v>
      </c>
      <c r="D6" s="6" t="s">
        <v>14</v>
      </c>
      <c r="E6" s="6"/>
      <c r="F6" s="7"/>
    </row>
    <row r="7" spans="1:8" ht="43.5" customHeight="1" x14ac:dyDescent="0.2">
      <c r="A7" s="6">
        <f t="shared" si="0"/>
        <v>187000</v>
      </c>
      <c r="B7" s="6">
        <v>22000</v>
      </c>
      <c r="C7" s="6"/>
      <c r="D7" s="6" t="s">
        <v>15</v>
      </c>
      <c r="E7" s="6">
        <v>38023</v>
      </c>
      <c r="F7" s="7"/>
    </row>
    <row r="8" spans="1:8" ht="42.75" customHeight="1" x14ac:dyDescent="0.2">
      <c r="A8" s="6">
        <f t="shared" si="0"/>
        <v>202000</v>
      </c>
      <c r="B8" s="6">
        <v>15000</v>
      </c>
      <c r="C8" s="6"/>
      <c r="D8" s="6" t="s">
        <v>17</v>
      </c>
      <c r="E8" s="6" t="s">
        <v>16</v>
      </c>
      <c r="F8" s="7"/>
    </row>
    <row r="9" spans="1:8" ht="43.5" customHeight="1" x14ac:dyDescent="0.2">
      <c r="A9" s="6">
        <f t="shared" si="0"/>
        <v>247000</v>
      </c>
      <c r="B9" s="6">
        <v>45000</v>
      </c>
      <c r="C9" s="6"/>
      <c r="D9" s="6" t="s">
        <v>19</v>
      </c>
      <c r="E9" s="6" t="s">
        <v>18</v>
      </c>
      <c r="F9" s="7"/>
    </row>
    <row r="10" spans="1:8" ht="43.5" customHeight="1" x14ac:dyDescent="0.2">
      <c r="A10" s="6">
        <f t="shared" si="0"/>
        <v>397000</v>
      </c>
      <c r="B10" s="6">
        <v>150000</v>
      </c>
      <c r="C10" s="6"/>
      <c r="D10" s="6" t="s">
        <v>21</v>
      </c>
      <c r="E10" s="6" t="s">
        <v>20</v>
      </c>
      <c r="F10" s="7"/>
    </row>
    <row r="11" spans="1:8" ht="42.75" customHeight="1" x14ac:dyDescent="0.2">
      <c r="A11" s="6">
        <f t="shared" si="0"/>
        <v>500000</v>
      </c>
      <c r="B11" s="6">
        <v>103000</v>
      </c>
      <c r="C11" s="6"/>
      <c r="D11" s="6" t="s">
        <v>22</v>
      </c>
      <c r="E11" s="6" t="s">
        <v>20</v>
      </c>
      <c r="F11" s="7"/>
    </row>
    <row r="12" spans="1:8" ht="42" customHeight="1" x14ac:dyDescent="0.2">
      <c r="A12" s="6">
        <f t="shared" si="0"/>
        <v>602000</v>
      </c>
      <c r="B12" s="6">
        <v>102000</v>
      </c>
      <c r="C12" s="6"/>
      <c r="D12" s="6" t="s">
        <v>24</v>
      </c>
      <c r="E12" s="6" t="s">
        <v>23</v>
      </c>
      <c r="F12" s="7"/>
    </row>
    <row r="13" spans="1:8" ht="43.5" customHeight="1" x14ac:dyDescent="0.2">
      <c r="A13" s="6">
        <f t="shared" si="0"/>
        <v>668000</v>
      </c>
      <c r="B13" s="6">
        <v>66000</v>
      </c>
      <c r="C13" s="6"/>
      <c r="D13" s="6" t="s">
        <v>25</v>
      </c>
      <c r="E13" s="6" t="s">
        <v>23</v>
      </c>
      <c r="F13" s="7"/>
    </row>
    <row r="14" spans="1:8" ht="42" customHeight="1" x14ac:dyDescent="0.2">
      <c r="A14" s="6">
        <f t="shared" si="0"/>
        <v>543000</v>
      </c>
      <c r="B14" s="6"/>
      <c r="C14" s="6">
        <v>125000</v>
      </c>
      <c r="D14" s="6" t="s">
        <v>26</v>
      </c>
      <c r="E14" s="6"/>
      <c r="F14" s="7"/>
    </row>
    <row r="15" spans="1:8" ht="42.75" customHeight="1" x14ac:dyDescent="0.2">
      <c r="A15" s="6">
        <f t="shared" si="0"/>
        <v>0</v>
      </c>
      <c r="B15" s="6"/>
      <c r="C15" s="6">
        <v>543000</v>
      </c>
      <c r="D15" s="6" t="s">
        <v>14</v>
      </c>
      <c r="E15" s="6"/>
      <c r="F15" s="7"/>
    </row>
    <row r="16" spans="1:8" ht="15" customHeight="1" x14ac:dyDescent="0.2">
      <c r="A16" s="7"/>
      <c r="B16" s="7">
        <f xml:space="preserve"> B3 + B4 + B5 + B6 + B7 + B8 + B9 +B10 + B11 + B12 + B13 + B14 + B15</f>
        <v>748000</v>
      </c>
      <c r="C16" s="7">
        <f xml:space="preserve"> C3 + C4 + C5 + C6 + C7 + C8 + C9 + C10 + C11 + C12 + C13 + C14 + C15</f>
        <v>748000</v>
      </c>
      <c r="D16" s="7"/>
      <c r="E16" s="7"/>
      <c r="F16" s="7"/>
    </row>
    <row r="17" spans="1:6" ht="43.5" customHeight="1" x14ac:dyDescent="0.4">
      <c r="A17" s="7"/>
      <c r="B17" s="7"/>
      <c r="C17" s="9">
        <f xml:space="preserve"> A15</f>
        <v>0</v>
      </c>
      <c r="D17" s="8" t="s">
        <v>8</v>
      </c>
      <c r="E17" s="8" t="s">
        <v>9</v>
      </c>
      <c r="F17" s="7"/>
    </row>
    <row r="18" spans="1:6" ht="45" customHeight="1" x14ac:dyDescent="0.25">
      <c r="A18" s="5" t="s">
        <v>6</v>
      </c>
      <c r="D18" s="5" t="s">
        <v>5</v>
      </c>
    </row>
    <row r="20" spans="1:6" ht="29.25" customHeight="1" x14ac:dyDescent="0.3">
      <c r="A20" t="s">
        <v>10</v>
      </c>
      <c r="B20" s="1" t="s">
        <v>0</v>
      </c>
    </row>
    <row r="21" spans="1:6" ht="29.25" customHeight="1" x14ac:dyDescent="0.35">
      <c r="A21" s="2" t="s">
        <v>4</v>
      </c>
      <c r="B21" s="3" t="s">
        <v>3</v>
      </c>
      <c r="C21" s="2" t="s">
        <v>1</v>
      </c>
      <c r="D21" s="4" t="s">
        <v>2</v>
      </c>
      <c r="E21" s="4" t="s">
        <v>7</v>
      </c>
    </row>
    <row r="22" spans="1:6" ht="29.25" customHeight="1" x14ac:dyDescent="0.2">
      <c r="A22" s="6">
        <f>C17+B22-C22</f>
        <v>90000</v>
      </c>
      <c r="B22" s="6">
        <v>90000</v>
      </c>
      <c r="C22" s="6"/>
      <c r="D22" s="6" t="s">
        <v>28</v>
      </c>
      <c r="E22" s="10" t="s">
        <v>27</v>
      </c>
    </row>
    <row r="23" spans="1:6" ht="29.25" customHeight="1" x14ac:dyDescent="0.2">
      <c r="A23" s="6">
        <f>A22+B23-C23</f>
        <v>200000</v>
      </c>
      <c r="B23" s="6">
        <v>110000</v>
      </c>
      <c r="C23" s="6"/>
      <c r="D23" s="6" t="s">
        <v>30</v>
      </c>
      <c r="E23" s="10" t="s">
        <v>29</v>
      </c>
    </row>
    <row r="24" spans="1:6" ht="29.25" customHeight="1" x14ac:dyDescent="0.2">
      <c r="A24" s="6">
        <f t="shared" ref="A24:A41" si="1">A23+B24-C24</f>
        <v>0</v>
      </c>
      <c r="B24" s="6"/>
      <c r="C24" s="6">
        <v>200000</v>
      </c>
      <c r="D24" s="6" t="s">
        <v>14</v>
      </c>
      <c r="E24" s="10" t="s">
        <v>31</v>
      </c>
    </row>
    <row r="25" spans="1:6" ht="29.25" customHeight="1" x14ac:dyDescent="0.2">
      <c r="A25" s="6">
        <f t="shared" si="1"/>
        <v>140000</v>
      </c>
      <c r="B25" s="6">
        <v>140000</v>
      </c>
      <c r="C25" s="6"/>
      <c r="D25" s="6" t="s">
        <v>28</v>
      </c>
      <c r="E25" s="10" t="s">
        <v>32</v>
      </c>
    </row>
    <row r="26" spans="1:6" ht="29.25" customHeight="1" x14ac:dyDescent="0.2">
      <c r="A26" s="6">
        <f t="shared" si="1"/>
        <v>0</v>
      </c>
      <c r="B26" s="6"/>
      <c r="C26" s="6">
        <v>140000</v>
      </c>
      <c r="D26" s="6" t="s">
        <v>14</v>
      </c>
      <c r="E26" s="10" t="s">
        <v>33</v>
      </c>
    </row>
    <row r="27" spans="1:6" ht="29.25" customHeight="1" x14ac:dyDescent="0.2">
      <c r="A27" s="6">
        <f t="shared" si="1"/>
        <v>140000</v>
      </c>
      <c r="B27" s="6">
        <v>140000</v>
      </c>
      <c r="C27" s="6"/>
      <c r="D27" s="6" t="s">
        <v>28</v>
      </c>
      <c r="E27" s="10" t="s">
        <v>34</v>
      </c>
    </row>
    <row r="28" spans="1:6" ht="29.25" customHeight="1" x14ac:dyDescent="0.2">
      <c r="A28" s="6">
        <f t="shared" si="1"/>
        <v>280000</v>
      </c>
      <c r="B28" s="6">
        <v>140000</v>
      </c>
      <c r="C28" s="6"/>
      <c r="D28" s="6" t="s">
        <v>36</v>
      </c>
      <c r="E28" s="10" t="s">
        <v>35</v>
      </c>
    </row>
    <row r="29" spans="1:6" ht="29.25" customHeight="1" x14ac:dyDescent="0.2">
      <c r="A29" s="6">
        <f t="shared" si="1"/>
        <v>0</v>
      </c>
      <c r="B29" s="6"/>
      <c r="C29" s="6">
        <v>280000</v>
      </c>
      <c r="D29" s="6" t="s">
        <v>14</v>
      </c>
      <c r="E29" s="10" t="s">
        <v>37</v>
      </c>
    </row>
    <row r="30" spans="1:6" ht="29.25" customHeight="1" x14ac:dyDescent="0.2">
      <c r="A30" s="6">
        <f t="shared" si="1"/>
        <v>140000</v>
      </c>
      <c r="B30" s="6">
        <v>140000</v>
      </c>
      <c r="C30" s="6"/>
      <c r="D30" s="6" t="s">
        <v>28</v>
      </c>
      <c r="E30" s="10" t="s">
        <v>38</v>
      </c>
    </row>
    <row r="31" spans="1:6" ht="29.25" customHeight="1" x14ac:dyDescent="0.2">
      <c r="A31" s="6">
        <f t="shared" si="1"/>
        <v>0</v>
      </c>
      <c r="B31" s="6"/>
      <c r="C31" s="6">
        <v>140000</v>
      </c>
      <c r="D31" s="6" t="s">
        <v>14</v>
      </c>
      <c r="E31" s="10" t="s">
        <v>39</v>
      </c>
    </row>
    <row r="32" spans="1:6" ht="29.25" customHeight="1" x14ac:dyDescent="0.2">
      <c r="A32" s="6">
        <f t="shared" si="1"/>
        <v>85000</v>
      </c>
      <c r="B32" s="6">
        <v>85000</v>
      </c>
      <c r="C32" s="6"/>
      <c r="D32" s="6" t="s">
        <v>42</v>
      </c>
      <c r="E32" s="10" t="s">
        <v>41</v>
      </c>
    </row>
    <row r="33" spans="1:5" ht="29.25" customHeight="1" x14ac:dyDescent="0.2">
      <c r="A33" s="6">
        <f t="shared" si="1"/>
        <v>220000</v>
      </c>
      <c r="B33" s="6">
        <v>135000</v>
      </c>
      <c r="C33" s="6"/>
      <c r="D33" s="6" t="s">
        <v>28</v>
      </c>
      <c r="E33" s="10" t="s">
        <v>43</v>
      </c>
    </row>
    <row r="34" spans="1:5" ht="29.25" customHeight="1" x14ac:dyDescent="0.2">
      <c r="A34" s="6">
        <f t="shared" si="1"/>
        <v>355000</v>
      </c>
      <c r="B34" s="6">
        <v>135000</v>
      </c>
      <c r="C34" s="6"/>
      <c r="D34" s="6" t="s">
        <v>28</v>
      </c>
      <c r="E34" s="10" t="s">
        <v>44</v>
      </c>
    </row>
    <row r="35" spans="1:5" ht="29.25" customHeight="1" x14ac:dyDescent="0.2">
      <c r="A35" s="6">
        <f t="shared" si="1"/>
        <v>0</v>
      </c>
      <c r="B35" s="6"/>
      <c r="C35" s="6">
        <v>355000</v>
      </c>
      <c r="D35" s="6" t="s">
        <v>14</v>
      </c>
      <c r="E35" s="10" t="s">
        <v>45</v>
      </c>
    </row>
    <row r="36" spans="1:5" ht="29.25" customHeight="1" x14ac:dyDescent="0.2">
      <c r="A36" s="6">
        <f t="shared" si="1"/>
        <v>150000</v>
      </c>
      <c r="B36" s="6">
        <v>150000</v>
      </c>
      <c r="C36" s="6"/>
      <c r="D36" s="6" t="s">
        <v>28</v>
      </c>
      <c r="E36" s="10" t="s">
        <v>46</v>
      </c>
    </row>
    <row r="37" spans="1:5" ht="29.25" customHeight="1" x14ac:dyDescent="0.2">
      <c r="A37" s="6">
        <f t="shared" si="1"/>
        <v>150000</v>
      </c>
      <c r="B37" s="6"/>
      <c r="C37" s="6"/>
      <c r="D37" s="6"/>
      <c r="E37" s="10"/>
    </row>
    <row r="38" spans="1:5" ht="29.25" customHeight="1" x14ac:dyDescent="0.2">
      <c r="A38" s="6">
        <f t="shared" si="1"/>
        <v>150000</v>
      </c>
      <c r="B38" s="6"/>
      <c r="C38" s="6"/>
      <c r="D38" s="6"/>
      <c r="E38" s="10"/>
    </row>
    <row r="39" spans="1:5" ht="29.25" customHeight="1" x14ac:dyDescent="0.2">
      <c r="A39" s="6">
        <f t="shared" si="1"/>
        <v>150000</v>
      </c>
      <c r="B39" s="6"/>
      <c r="C39" s="6"/>
      <c r="D39" s="6"/>
      <c r="E39" s="10"/>
    </row>
    <row r="40" spans="1:5" ht="29.25" customHeight="1" x14ac:dyDescent="0.2">
      <c r="A40" s="6">
        <f t="shared" si="1"/>
        <v>150000</v>
      </c>
      <c r="B40" s="6"/>
      <c r="C40" s="6"/>
      <c r="D40" s="6"/>
      <c r="E40" s="10"/>
    </row>
    <row r="41" spans="1:5" ht="29.25" customHeight="1" x14ac:dyDescent="0.2">
      <c r="A41" s="6">
        <f t="shared" si="1"/>
        <v>150000</v>
      </c>
      <c r="B41" s="6"/>
      <c r="C41" s="6"/>
      <c r="D41" s="6"/>
      <c r="E41" s="10"/>
    </row>
    <row r="42" spans="1:5" ht="29.25" customHeight="1" x14ac:dyDescent="0.2">
      <c r="B42" s="7">
        <f>SUM(B22:B41)+B16</f>
        <v>2013000</v>
      </c>
      <c r="C42" s="7">
        <f>SUM(C22:C41)+C16</f>
        <v>1863000</v>
      </c>
    </row>
    <row r="43" spans="1:5" ht="29.25" customHeight="1" x14ac:dyDescent="0.4">
      <c r="A43" s="7"/>
      <c r="B43" s="7"/>
      <c r="C43" s="9">
        <f xml:space="preserve"> A41</f>
        <v>150000</v>
      </c>
      <c r="D43" s="11" t="s">
        <v>40</v>
      </c>
      <c r="E43" s="11"/>
    </row>
    <row r="44" spans="1:5" ht="29.25" customHeight="1" x14ac:dyDescent="0.25">
      <c r="A44" s="5" t="s">
        <v>6</v>
      </c>
      <c r="D44" s="5" t="s">
        <v>5</v>
      </c>
    </row>
    <row r="45" spans="1:5" ht="29.25" customHeight="1" x14ac:dyDescent="0.2"/>
    <row r="46" spans="1:5" ht="29.25" customHeight="1" x14ac:dyDescent="0.2"/>
    <row r="47" spans="1:5" ht="29.25" customHeight="1" x14ac:dyDescent="0.2"/>
    <row r="48" spans="1:5" ht="29.25" customHeight="1" x14ac:dyDescent="0.2"/>
    <row r="49" ht="29.25" customHeight="1" x14ac:dyDescent="0.2"/>
    <row r="50" ht="29.25" customHeight="1" x14ac:dyDescent="0.2"/>
    <row r="51" ht="29.25" customHeight="1" x14ac:dyDescent="0.2"/>
    <row r="52" ht="29.25" customHeight="1" x14ac:dyDescent="0.2"/>
    <row r="53" ht="29.25" customHeight="1" x14ac:dyDescent="0.2"/>
    <row r="54" ht="29.25" customHeight="1" x14ac:dyDescent="0.2"/>
    <row r="55" ht="29.25" customHeight="1" x14ac:dyDescent="0.2"/>
    <row r="56" ht="29.25" customHeight="1" x14ac:dyDescent="0.2"/>
    <row r="57" ht="29.25" customHeight="1" x14ac:dyDescent="0.2"/>
    <row r="58" ht="29.25" customHeight="1" x14ac:dyDescent="0.2"/>
    <row r="59" ht="29.25" customHeight="1" x14ac:dyDescent="0.2"/>
    <row r="60" ht="29.25" customHeight="1" x14ac:dyDescent="0.2"/>
    <row r="61" ht="29.25" customHeight="1" x14ac:dyDescent="0.2"/>
    <row r="62" ht="29.25" customHeight="1" x14ac:dyDescent="0.2"/>
  </sheetData>
  <mergeCells count="1">
    <mergeCell ref="D43:E43"/>
  </mergeCells>
  <conditionalFormatting sqref="C17">
    <cfRule type="cellIs" dxfId="7" priority="8" operator="greaterThan">
      <formula>0</formula>
    </cfRule>
    <cfRule type="cellIs" dxfId="6" priority="7" operator="equal">
      <formula>0</formula>
    </cfRule>
    <cfRule type="cellIs" dxfId="5" priority="6" operator="lessThan">
      <formula>0</formula>
    </cfRule>
    <cfRule type="cellIs" dxfId="4" priority="5" operator="lessThanOrEqual">
      <formula>0</formula>
    </cfRule>
  </conditionalFormatting>
  <conditionalFormatting sqref="C43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2026-09-13T06:28:10Z</dcterms:modified>
</cp:coreProperties>
</file>